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68933\Desktop\temp\gruppe 2 takstmapper\"/>
    </mc:Choice>
  </mc:AlternateContent>
  <xr:revisionPtr revIDLastSave="0" documentId="13_ncr:1_{2C142E77-7FF6-4D6D-A786-7EA3873B4DFE}" xr6:coauthVersionLast="47" xr6:coauthVersionMax="47" xr10:uidLastSave="{00000000-0000-0000-0000-000000000000}"/>
  <bookViews>
    <workbookView xWindow="28680" yWindow="-5310" windowWidth="38640" windowHeight="21120" activeTab="1" xr2:uid="{58A16F60-4908-429F-9202-B1D13EA3283C}"/>
  </bookViews>
  <sheets>
    <sheet name="Ark1" sheetId="4" r:id="rId1"/>
    <sheet name="Tabel 1" sheetId="8" r:id="rId2"/>
    <sheet name="Gruppe2_Takstmapper" sheetId="3" r:id="rId3"/>
  </sheets>
  <definedNames>
    <definedName name="EksterneData_1" localSheetId="2" hidden="1">Gruppe2_Takstmapper!$A$1:$E$520</definedName>
    <definedName name="EksterneData_2" localSheetId="1" hidden="1">'Tabel 1'!$A$1:$E$23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 a="1"/>
  <c r="Q6" i="4" s="1"/>
  <c r="F6" i="4" s="1"/>
  <c r="Q7" i="4" a="1"/>
  <c r="Q7" i="4" s="1"/>
  <c r="F7" i="4" s="1"/>
  <c r="Q8" i="4" a="1"/>
  <c r="Q8" i="4" s="1"/>
  <c r="F8" i="4" s="1"/>
  <c r="Q9" i="4" a="1"/>
  <c r="Q9" i="4" s="1"/>
  <c r="F9" i="4" s="1"/>
  <c r="Q10" i="4" a="1"/>
  <c r="Q10" i="4" s="1"/>
  <c r="F10" i="4" s="1"/>
  <c r="Q11" i="4" a="1"/>
  <c r="Q11" i="4" s="1"/>
  <c r="F11" i="4" s="1"/>
  <c r="Q12" i="4" a="1"/>
  <c r="Q12" i="4" s="1"/>
  <c r="F12" i="4" s="1"/>
  <c r="Q13" i="4" a="1"/>
  <c r="Q13" i="4" s="1"/>
  <c r="F13" i="4" s="1"/>
  <c r="Q14" i="4" a="1"/>
  <c r="Q14" i="4" s="1"/>
  <c r="F14" i="4" s="1"/>
  <c r="Q15" i="4" a="1"/>
  <c r="Q15" i="4" s="1"/>
  <c r="F15" i="4" s="1"/>
  <c r="Q16" i="4" a="1"/>
  <c r="Q16" i="4" s="1"/>
  <c r="F16" i="4" s="1"/>
  <c r="Q17" i="4" a="1"/>
  <c r="Q17" i="4" s="1"/>
  <c r="F17" i="4" s="1"/>
  <c r="Q18" i="4" a="1"/>
  <c r="Q18" i="4" s="1"/>
  <c r="F18" i="4" s="1"/>
  <c r="Q19" i="4" a="1"/>
  <c r="Q19" i="4" s="1"/>
  <c r="F19" i="4" s="1"/>
  <c r="Q20" i="4" a="1"/>
  <c r="Q20" i="4" s="1"/>
  <c r="F20" i="4" s="1"/>
  <c r="Q21" i="4" a="1"/>
  <c r="Q21" i="4" s="1"/>
  <c r="F21" i="4" s="1"/>
  <c r="Q22" i="4" a="1"/>
  <c r="Q22" i="4" s="1"/>
  <c r="F22" i="4" s="1"/>
  <c r="Q23" i="4" a="1"/>
  <c r="Q23" i="4" s="1"/>
  <c r="F23" i="4" s="1"/>
  <c r="Q24" i="4" a="1"/>
  <c r="Q24" i="4" s="1"/>
  <c r="F24" i="4" s="1"/>
  <c r="Q25" i="4" a="1"/>
  <c r="Q25" i="4" s="1"/>
  <c r="F25" i="4" s="1"/>
  <c r="Q26" i="4" a="1"/>
  <c r="Q26" i="4" s="1"/>
  <c r="F26" i="4" s="1"/>
  <c r="Q27" i="4" a="1"/>
  <c r="Q27" i="4" s="1"/>
  <c r="F27" i="4" s="1"/>
  <c r="Q28" i="4" a="1"/>
  <c r="Q28" i="4" s="1"/>
  <c r="F28" i="4" s="1"/>
  <c r="Q29" i="4" a="1"/>
  <c r="Q29" i="4" s="1"/>
  <c r="F29" i="4" s="1"/>
  <c r="Q30" i="4" a="1"/>
  <c r="Q30" i="4" s="1"/>
  <c r="F30" i="4" s="1"/>
  <c r="Q2" i="4" a="1"/>
  <c r="Q2" i="4" s="1"/>
  <c r="F2" i="4" s="1"/>
  <c r="Q3" i="4" a="1"/>
  <c r="Q3" i="4" s="1"/>
  <c r="F3" i="4" s="1"/>
  <c r="Q4" i="4" a="1"/>
  <c r="Q4" i="4" s="1"/>
  <c r="F4" i="4" s="1"/>
  <c r="Q5" i="4" a="1"/>
  <c r="Q5" i="4" s="1"/>
  <c r="F5" i="4" s="1"/>
  <c r="P6" i="4" a="1"/>
  <c r="P6" i="4" s="1"/>
  <c r="P7" i="4" a="1"/>
  <c r="P7" i="4" s="1"/>
  <c r="P8" i="4" a="1"/>
  <c r="P8" i="4" s="1"/>
  <c r="P9" i="4" a="1"/>
  <c r="P9" i="4" s="1"/>
  <c r="P10" i="4" a="1"/>
  <c r="P10" i="4" s="1"/>
  <c r="P11" i="4" a="1"/>
  <c r="P11" i="4" s="1"/>
  <c r="P12" i="4" a="1"/>
  <c r="P12" i="4" s="1"/>
  <c r="P13" i="4" a="1"/>
  <c r="P13" i="4" s="1"/>
  <c r="P14" i="4" a="1"/>
  <c r="P14" i="4" s="1"/>
  <c r="P15" i="4" a="1"/>
  <c r="P15" i="4" s="1"/>
  <c r="P16" i="4" a="1"/>
  <c r="P16" i="4" s="1"/>
  <c r="P17" i="4" a="1"/>
  <c r="P17" i="4" s="1"/>
  <c r="P18" i="4" a="1"/>
  <c r="P18" i="4" s="1"/>
  <c r="P19" i="4" a="1"/>
  <c r="P19" i="4" s="1"/>
  <c r="P20" i="4" a="1"/>
  <c r="P20" i="4" s="1"/>
  <c r="P21" i="4" a="1"/>
  <c r="P21" i="4" s="1"/>
  <c r="P22" i="4" a="1"/>
  <c r="P22" i="4" s="1"/>
  <c r="P23" i="4" a="1"/>
  <c r="P23" i="4" s="1"/>
  <c r="P24" i="4" a="1"/>
  <c r="P24" i="4" s="1"/>
  <c r="P25" i="4" a="1"/>
  <c r="P25" i="4" s="1"/>
  <c r="P26" i="4" a="1"/>
  <c r="P26" i="4" s="1"/>
  <c r="P27" i="4" a="1"/>
  <c r="P27" i="4" s="1"/>
  <c r="P28" i="4" a="1"/>
  <c r="P28" i="4" s="1"/>
  <c r="P29" i="4" a="1"/>
  <c r="P29" i="4" s="1"/>
  <c r="P30" i="4" a="1"/>
  <c r="P30" i="4" s="1"/>
  <c r="P2" i="4" a="1"/>
  <c r="P2" i="4" s="1"/>
  <c r="P3" i="4" a="1"/>
  <c r="P3" i="4" s="1"/>
  <c r="P4" i="4" a="1"/>
  <c r="P4" i="4" s="1"/>
  <c r="P5" i="4" a="1"/>
  <c r="P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74E2D-DB3E-4EA7-BB17-3728398CC531}" keepAlive="1" name="Forespørgsel - Gruppe2_Takstmapper" description="Forbindelse til forespørgslen 'Gruppe2_Takstmapper' i projektmappen." type="5" refreshedVersion="8" background="1" saveData="1">
    <dbPr connection="Provider=Microsoft.Mashup.OleDb.1;Data Source=$Workbook$;Location=Gruppe2_Takstmapper;Extended Properties=&quot;&quot;" command="SELECT * FROM [Gruppe2_Takstmapper]"/>
  </connection>
  <connection id="2" xr16:uid="{D2DCB8EE-4CF8-4E83-A83E-796B8D821178}" keepAlive="1" name="Forespørgsel - Tabel 1" description="Forbindelse til forespørgslen 'Tabel 1' i projektmappen." type="5" refreshedVersion="8" background="1" saveData="1">
    <dbPr connection="Provider=Microsoft.Mashup.OleDb.1;Data Source=$Workbook$;Location=&quot;Tabel 1&quot;;Extended Properties=&quot;&quot;" command="SELECT * FROM [Tabel 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<sst xmlns="http://schemas.openxmlformats.org/spreadsheetml/2006/main" count="2179" uniqueCount="532">
  <si>
    <t>gyldig_fra</t>
  </si>
  <si>
    <t>mappe_id</t>
  </si>
  <si>
    <t>kode</t>
  </si>
  <si>
    <t>ydelse</t>
  </si>
  <si>
    <t>beloeb</t>
  </si>
  <si>
    <t>26</t>
  </si>
  <si>
    <t>Vurdering af patient ved enkeltstående konsultation</t>
  </si>
  <si>
    <t>Faglig konferering pr. video med prak. læge med deltagelse af pt.</t>
  </si>
  <si>
    <t>Faglig konferering med anden lægefaglig samarbejdspartner</t>
  </si>
  <si>
    <t>Visitation af henviste patienter</t>
  </si>
  <si>
    <t>1. konsultation</t>
  </si>
  <si>
    <t>Samtale med udredningssigte</t>
  </si>
  <si>
    <t>Klinisk psykiatrisk observation</t>
  </si>
  <si>
    <t>Netværksmøde i udredningsforløb</t>
  </si>
  <si>
    <t>Skriftlig tilbagemelding</t>
  </si>
  <si>
    <t>Medicinsk samtale/behandling</t>
  </si>
  <si>
    <t>Psykoterapeutisk behandling</t>
  </si>
  <si>
    <t>Psykoterapeutisk behandling patient og forældre/pårørende</t>
  </si>
  <si>
    <t>Psykoterapeutisk gruppesamtale, 2 personer</t>
  </si>
  <si>
    <t>Psykoterapeutisk gruppesamtale, 3 personer</t>
  </si>
  <si>
    <t>Psykoterapeutisk gruppesamtale, 4 personer</t>
  </si>
  <si>
    <t>Psykoterapeutisk gruppesamtale, 5 personer</t>
  </si>
  <si>
    <t>Psykoterapeutisk gruppesamtale, 6 personer</t>
  </si>
  <si>
    <t>Psykoedukativ behandling</t>
  </si>
  <si>
    <t>Psykoedukativ gruppesamtale med patienter, 2 personer</t>
  </si>
  <si>
    <t>Psykoedukativ gruppesamtale med patienter, 3 personer</t>
  </si>
  <si>
    <t>Psykoedukativ gruppesamtale med patienter, 4 personer</t>
  </si>
  <si>
    <t>Psykoedukativ gruppesamtale med patienter, 5 personer</t>
  </si>
  <si>
    <t>Psykoedukativ gruppesamtale med patienter, 6 personer</t>
  </si>
  <si>
    <t>Psykoedukativ gruppesamtale med forældre/pårørende, 2 personer</t>
  </si>
  <si>
    <t>Psykoedukativ gruppesamtale med forældre/pårørende, 3 personer</t>
  </si>
  <si>
    <t>Psykoedukativ gruppesamtale med forældre/pårørende, 4 personer</t>
  </si>
  <si>
    <t>Psykoedukativ gruppesamtale med forældre/pårørende, 5 personer</t>
  </si>
  <si>
    <t>Psykoedukativ gruppesamtale med forældre/pårørende, 6 personer</t>
  </si>
  <si>
    <t>Opgørelse af psykometr. målinger og diagn. interview i udredn.forløb</t>
  </si>
  <si>
    <t>Opgørelse af tidskrævende undersøgelse i udredningsforløb</t>
  </si>
  <si>
    <t>Psykiatrisk udredningssamtale i et behandlingsforløb</t>
  </si>
  <si>
    <t>Netværksmøde i et behandlingsforløb</t>
  </si>
  <si>
    <t>Afsluttende ydelse i et behandlingsforløb</t>
  </si>
  <si>
    <t>Opg. psykometriske målinger og diagn. interview i behandl.forløb</t>
  </si>
  <si>
    <t>Opgørelse af tidskrævende undersøgelse i behandlingsforløb</t>
  </si>
  <si>
    <t>E-mail konsultation</t>
  </si>
  <si>
    <t>Telefonkonsultation med patient/forældre</t>
  </si>
  <si>
    <t>Telefonkonsultation med netværk/samarbejdspartnere</t>
  </si>
  <si>
    <t>Besøg</t>
  </si>
  <si>
    <t>Kørselstillæg for tidsforbrug ved besøg (pr. påbegyndt km.)</t>
  </si>
  <si>
    <t>Kørselsgodtgørelse indtil 20.000 km</t>
  </si>
  <si>
    <t>Kørselsgodtgørelse over 20.000 km</t>
  </si>
  <si>
    <t>Tillæg for rekvirering af tolkebistand</t>
  </si>
  <si>
    <t>Tillæg til konsultation med tolk</t>
  </si>
  <si>
    <t>24</t>
  </si>
  <si>
    <t>Faglig konferering pr. video med praktis. læger med deltagelse af pt.</t>
  </si>
  <si>
    <t>Telef. rådgivning/rådgivning pr. edifact til lægelige samarbejdspartn.</t>
  </si>
  <si>
    <t>Første konsultation, udredningsforløb, grundforløb</t>
  </si>
  <si>
    <t>2. konsultation - Udredningsforløb - grundforløb</t>
  </si>
  <si>
    <t>konsultation med udredningssigte - Udredningsforløb, udvidet forløb</t>
  </si>
  <si>
    <t>Kons. i et primært medicinsk beh.forløb og støttende samtale*</t>
  </si>
  <si>
    <t>Individuel konsultation med primært psykoedukativt behandlingsforløb*</t>
  </si>
  <si>
    <t>Individuel konsultation med psykoterapeutisk behandlingsforløb*</t>
  </si>
  <si>
    <t>Psykoedukativ gruppe, 2 personer*</t>
  </si>
  <si>
    <t>Psykoedukativ gruppe 3 personer*</t>
  </si>
  <si>
    <t>Psykoedukativ gruppe 4 personer*</t>
  </si>
  <si>
    <t>Psykoedukativ gruppe 5 personer*</t>
  </si>
  <si>
    <t>Psykoedukativ gruppe 6 personer*</t>
  </si>
  <si>
    <t>Psykoedukativ gruppe 7 personer*</t>
  </si>
  <si>
    <t>Psykoedukativ gruppe 8 personer*</t>
  </si>
  <si>
    <t>Psykoterapi standardgruppe, 2 personer*</t>
  </si>
  <si>
    <t>Psykoterapi standardgruppe, 3 personer*</t>
  </si>
  <si>
    <t>Psykoterapi standardgruppe 4 personer*</t>
  </si>
  <si>
    <t>Psykoterapi standardgruppe 5 personer*</t>
  </si>
  <si>
    <t>Psykoterapi standardgruppe 6 personer*</t>
  </si>
  <si>
    <t>Psykoterapi standardgruppe 7 personer*</t>
  </si>
  <si>
    <t>Psykoterapi standardgruppe 8 personer*</t>
  </si>
  <si>
    <t>Psykoterapi storgruppe 9 personer*</t>
  </si>
  <si>
    <t>Psykoterapi storgruppe 10 personer*</t>
  </si>
  <si>
    <t>Psykoterapi storgruppe 11 personer*</t>
  </si>
  <si>
    <t>Psykoterapi storgruppe 12 personer*</t>
  </si>
  <si>
    <t>Afsluttende registrering i udregnings- og behandlingsforløb*</t>
  </si>
  <si>
    <t>Afslutning af patienter uden fremmøde</t>
  </si>
  <si>
    <t>Pårørende konsultation*</t>
  </si>
  <si>
    <t>Netværksmøde*</t>
  </si>
  <si>
    <t>Opg. anerk. diag. interviews i forb. med udredn.- og beh.forløb</t>
  </si>
  <si>
    <t>E-mail konsultation*</t>
  </si>
  <si>
    <t>Telefonkonsultation*</t>
  </si>
  <si>
    <t>Edifact/telefonisk koordinering med samarbejspartnere*</t>
  </si>
  <si>
    <t>Tillæg ved rekvirering af tolk</t>
  </si>
  <si>
    <t>Tillæg til konsultation med døvetolk</t>
  </si>
  <si>
    <t>0152</t>
  </si>
  <si>
    <t>0104</t>
  </si>
  <si>
    <t>1.668,19</t>
  </si>
  <si>
    <t>0109</t>
  </si>
  <si>
    <t>1.928,17</t>
  </si>
  <si>
    <t>0205</t>
  </si>
  <si>
    <t>444,95</t>
  </si>
  <si>
    <t>0135</t>
  </si>
  <si>
    <t>549,36</t>
  </si>
  <si>
    <t>0141</t>
  </si>
  <si>
    <t>3.996,16</t>
  </si>
  <si>
    <t>0142</t>
  </si>
  <si>
    <t>1.432,33</t>
  </si>
  <si>
    <t>0143</t>
  </si>
  <si>
    <t>1.211,69</t>
  </si>
  <si>
    <t>0144</t>
  </si>
  <si>
    <t>2.203,61</t>
  </si>
  <si>
    <t>2300</t>
  </si>
  <si>
    <t>959,32</t>
  </si>
  <si>
    <t>0145</t>
  </si>
  <si>
    <t>1.239,52</t>
  </si>
  <si>
    <t>0150</t>
  </si>
  <si>
    <t>1.652,70</t>
  </si>
  <si>
    <t>0151</t>
  </si>
  <si>
    <t>1.873,07</t>
  </si>
  <si>
    <t>2.065,87</t>
  </si>
  <si>
    <t>0153</t>
  </si>
  <si>
    <t>1.377,26</t>
  </si>
  <si>
    <t>0154</t>
  </si>
  <si>
    <t>1.032,94</t>
  </si>
  <si>
    <t>0155</t>
  </si>
  <si>
    <t>826,35</t>
  </si>
  <si>
    <t>0156</t>
  </si>
  <si>
    <t>688,62</t>
  </si>
  <si>
    <t>0160</t>
  </si>
  <si>
    <t>1.108,81</t>
  </si>
  <si>
    <t>0162</t>
  </si>
  <si>
    <t>1.776,88</t>
  </si>
  <si>
    <t>0163</t>
  </si>
  <si>
    <t>1.184,57</t>
  </si>
  <si>
    <t>0164</t>
  </si>
  <si>
    <t>888,43</t>
  </si>
  <si>
    <t>0165</t>
  </si>
  <si>
    <t>710,75</t>
  </si>
  <si>
    <t>0166</t>
  </si>
  <si>
    <t>592,29</t>
  </si>
  <si>
    <t>0172</t>
  </si>
  <si>
    <t>0173</t>
  </si>
  <si>
    <t>0174</t>
  </si>
  <si>
    <t>0175</t>
  </si>
  <si>
    <t>0176</t>
  </si>
  <si>
    <t>2301</t>
  </si>
  <si>
    <t>413,17</t>
  </si>
  <si>
    <t>2302</t>
  </si>
  <si>
    <t>1.458,87</t>
  </si>
  <si>
    <t>0146</t>
  </si>
  <si>
    <t>0147</t>
  </si>
  <si>
    <t>0148</t>
  </si>
  <si>
    <t>2.479,05</t>
  </si>
  <si>
    <t>2303</t>
  </si>
  <si>
    <t>2304</t>
  </si>
  <si>
    <t>0105</t>
  </si>
  <si>
    <t>81,27</t>
  </si>
  <si>
    <t>0201</t>
  </si>
  <si>
    <t>189,23</t>
  </si>
  <si>
    <t>0202</t>
  </si>
  <si>
    <t>186,69</t>
  </si>
  <si>
    <t>1401</t>
  </si>
  <si>
    <t>555,46</t>
  </si>
  <si>
    <t>1101</t>
  </si>
  <si>
    <t>14,64</t>
  </si>
  <si>
    <t>9001</t>
  </si>
  <si>
    <t>4,38</t>
  </si>
  <si>
    <t>9002</t>
  </si>
  <si>
    <t>2,56</t>
  </si>
  <si>
    <t>2161</t>
  </si>
  <si>
    <t>127,55</t>
  </si>
  <si>
    <t>2261</t>
  </si>
  <si>
    <t>915,13</t>
  </si>
  <si>
    <t>1.866,22</t>
  </si>
  <si>
    <t>834,10</t>
  </si>
  <si>
    <t>437,15</t>
  </si>
  <si>
    <t>1.634,82</t>
  </si>
  <si>
    <t>779,26</t>
  </si>
  <si>
    <t>1.082,59</t>
  </si>
  <si>
    <t>0252</t>
  </si>
  <si>
    <t>1.088,70</t>
  </si>
  <si>
    <t>0253</t>
  </si>
  <si>
    <t>725,80</t>
  </si>
  <si>
    <t>0254</t>
  </si>
  <si>
    <t>544,35</t>
  </si>
  <si>
    <t>0255</t>
  </si>
  <si>
    <t>435,48</t>
  </si>
  <si>
    <t>0256</t>
  </si>
  <si>
    <t>362,89</t>
  </si>
  <si>
    <t>0257</t>
  </si>
  <si>
    <t>311,06</t>
  </si>
  <si>
    <t>0258</t>
  </si>
  <si>
    <t>272,18</t>
  </si>
  <si>
    <t>0262</t>
  </si>
  <si>
    <t>1.715,69</t>
  </si>
  <si>
    <t>0263</t>
  </si>
  <si>
    <t>1.143,79</t>
  </si>
  <si>
    <t>0264</t>
  </si>
  <si>
    <t>857,85</t>
  </si>
  <si>
    <t>0265</t>
  </si>
  <si>
    <t>686,27</t>
  </si>
  <si>
    <t>0266</t>
  </si>
  <si>
    <t>571,90</t>
  </si>
  <si>
    <t>0267</t>
  </si>
  <si>
    <t>490,20</t>
  </si>
  <si>
    <t>0268</t>
  </si>
  <si>
    <t>428,92</t>
  </si>
  <si>
    <t>0269</t>
  </si>
  <si>
    <t>381,26</t>
  </si>
  <si>
    <t>0270</t>
  </si>
  <si>
    <t>343,14</t>
  </si>
  <si>
    <t>0271</t>
  </si>
  <si>
    <t>311,94</t>
  </si>
  <si>
    <t>0272</t>
  </si>
  <si>
    <t>285,94</t>
  </si>
  <si>
    <t>364,23</t>
  </si>
  <si>
    <t>0,00</t>
  </si>
  <si>
    <t>546,45</t>
  </si>
  <si>
    <t>817,41</t>
  </si>
  <si>
    <t>498,86</t>
  </si>
  <si>
    <t>82,53</t>
  </si>
  <si>
    <t>252,20</t>
  </si>
  <si>
    <t>0206</t>
  </si>
  <si>
    <t>132,18</t>
  </si>
  <si>
    <t>353,07</t>
  </si>
  <si>
    <t>2264</t>
  </si>
  <si>
    <t>118,28</t>
  </si>
  <si>
    <t>1.684,40</t>
  </si>
  <si>
    <t>1.946,90</t>
  </si>
  <si>
    <t>449,28</t>
  </si>
  <si>
    <t>554,69</t>
  </si>
  <si>
    <t>4.034,99</t>
  </si>
  <si>
    <t>1.446,25</t>
  </si>
  <si>
    <t>1.223,47</t>
  </si>
  <si>
    <t>2.225,02</t>
  </si>
  <si>
    <t>968,64</t>
  </si>
  <si>
    <t>1.251,57</t>
  </si>
  <si>
    <t>1.668,76</t>
  </si>
  <si>
    <t>1.891,26</t>
  </si>
  <si>
    <t>2.085,94</t>
  </si>
  <si>
    <t>1.390,64</t>
  </si>
  <si>
    <t>1.042,97</t>
  </si>
  <si>
    <t>834,38</t>
  </si>
  <si>
    <t>695,31</t>
  </si>
  <si>
    <t>1.119,59</t>
  </si>
  <si>
    <t>1.794,14</t>
  </si>
  <si>
    <t>1.196,08</t>
  </si>
  <si>
    <t>897,06</t>
  </si>
  <si>
    <t>717,65</t>
  </si>
  <si>
    <t>598,05</t>
  </si>
  <si>
    <t>417,19</t>
  </si>
  <si>
    <t>1.473,05</t>
  </si>
  <si>
    <t>2.503,13</t>
  </si>
  <si>
    <t>82,06</t>
  </si>
  <si>
    <t>191,07</t>
  </si>
  <si>
    <t>188,51</t>
  </si>
  <si>
    <t>560,85</t>
  </si>
  <si>
    <t>14,78</t>
  </si>
  <si>
    <t>128,79</t>
  </si>
  <si>
    <t>924,02</t>
  </si>
  <si>
    <t>1.884,35</t>
  </si>
  <si>
    <t>842,20</t>
  </si>
  <si>
    <t>441,40</t>
  </si>
  <si>
    <t>1.650,71</t>
  </si>
  <si>
    <t>786,84</t>
  </si>
  <si>
    <t>1.093,11</t>
  </si>
  <si>
    <t>1.099,28</t>
  </si>
  <si>
    <t>732,85</t>
  </si>
  <si>
    <t>549,64</t>
  </si>
  <si>
    <t>439,71</t>
  </si>
  <si>
    <t>366,42</t>
  </si>
  <si>
    <t>314,08</t>
  </si>
  <si>
    <t>274,82</t>
  </si>
  <si>
    <t>1.732,36</t>
  </si>
  <si>
    <t>1.154,90</t>
  </si>
  <si>
    <t>866,18</t>
  </si>
  <si>
    <t>692,94</t>
  </si>
  <si>
    <t>577,46</t>
  </si>
  <si>
    <t>494,97</t>
  </si>
  <si>
    <t>433,09</t>
  </si>
  <si>
    <t>384,97</t>
  </si>
  <si>
    <t>346,48</t>
  </si>
  <si>
    <t>314,97</t>
  </si>
  <si>
    <t>288,72</t>
  </si>
  <si>
    <t>367,77</t>
  </si>
  <si>
    <t>551,76</t>
  </si>
  <si>
    <t>825,35</t>
  </si>
  <si>
    <t>503,71</t>
  </si>
  <si>
    <t>83,33</t>
  </si>
  <si>
    <t>254,65</t>
  </si>
  <si>
    <t>133,47</t>
  </si>
  <si>
    <t>356,50</t>
  </si>
  <si>
    <t>119,43</t>
  </si>
  <si>
    <t>Antal</t>
  </si>
  <si>
    <t>Ydelsesnummer</t>
  </si>
  <si>
    <t>Speciale</t>
  </si>
  <si>
    <t>Tilskud</t>
  </si>
  <si>
    <t>Regningsbeløb</t>
  </si>
  <si>
    <t xml:space="preserve">Konsultation nr. </t>
  </si>
  <si>
    <t>Behandlingsdato</t>
  </si>
  <si>
    <t xml:space="preserve">Faktura nr. </t>
  </si>
  <si>
    <t xml:space="preserve">Henvisningsdato </t>
  </si>
  <si>
    <t xml:space="preserve">Udbetalt dato </t>
  </si>
  <si>
    <t xml:space="preserve">Agter sendt </t>
  </si>
  <si>
    <t xml:space="preserve">Afvist den </t>
  </si>
  <si>
    <t xml:space="preserve">Tæller ikke med i limitering + max antal </t>
  </si>
  <si>
    <t xml:space="preserve">Behandler: </t>
  </si>
  <si>
    <t xml:space="preserve">Gruppe 2 pr.  </t>
  </si>
  <si>
    <t>Ydelse</t>
  </si>
  <si>
    <t>Maks tilskud</t>
  </si>
  <si>
    <t>1.670,69</t>
  </si>
  <si>
    <t>1.931,05</t>
  </si>
  <si>
    <t>445,62</t>
  </si>
  <si>
    <t>550,18</t>
  </si>
  <si>
    <t>4.002,14</t>
  </si>
  <si>
    <t>1.434,47</t>
  </si>
  <si>
    <t>1.213,50</t>
  </si>
  <si>
    <t>2.206,90</t>
  </si>
  <si>
    <t>960,75</t>
  </si>
  <si>
    <t>1.241,38</t>
  </si>
  <si>
    <t>1.655,17</t>
  </si>
  <si>
    <t>1.875,87</t>
  </si>
  <si>
    <t>2.068,96</t>
  </si>
  <si>
    <t>1.379,32</t>
  </si>
  <si>
    <t>1.034,48</t>
  </si>
  <si>
    <t>827,58</t>
  </si>
  <si>
    <t>689,64</t>
  </si>
  <si>
    <t>1.110,47</t>
  </si>
  <si>
    <t>1.779,53</t>
  </si>
  <si>
    <t>1.186,34</t>
  </si>
  <si>
    <t>889,76</t>
  </si>
  <si>
    <t>711,81</t>
  </si>
  <si>
    <t>593,18</t>
  </si>
  <si>
    <t>413,79</t>
  </si>
  <si>
    <t>1.461,06</t>
  </si>
  <si>
    <t>2.482,75</t>
  </si>
  <si>
    <t>81,39</t>
  </si>
  <si>
    <t>189,52</t>
  </si>
  <si>
    <t>186,97</t>
  </si>
  <si>
    <t>556,29</t>
  </si>
  <si>
    <t>14,66</t>
  </si>
  <si>
    <t>127,74</t>
  </si>
  <si>
    <t>916,49</t>
  </si>
  <si>
    <t>1.869,01</t>
  </si>
  <si>
    <t>835,34</t>
  </si>
  <si>
    <t>437,80</t>
  </si>
  <si>
    <t>1.637,27</t>
  </si>
  <si>
    <t>780,43</t>
  </si>
  <si>
    <t>1.084,21</t>
  </si>
  <si>
    <t>1.090,33</t>
  </si>
  <si>
    <t>726,88</t>
  </si>
  <si>
    <t>545,17</t>
  </si>
  <si>
    <t>436,13</t>
  </si>
  <si>
    <t>363,43</t>
  </si>
  <si>
    <t>311,52</t>
  </si>
  <si>
    <t>272,58</t>
  </si>
  <si>
    <t>1.718,26</t>
  </si>
  <si>
    <t>1.145,50</t>
  </si>
  <si>
    <t>859,13</t>
  </si>
  <si>
    <t>687,30</t>
  </si>
  <si>
    <t>572,76</t>
  </si>
  <si>
    <t>490,94</t>
  </si>
  <si>
    <t>429,56</t>
  </si>
  <si>
    <t>381,83</t>
  </si>
  <si>
    <t>343,66</t>
  </si>
  <si>
    <t>312,41</t>
  </si>
  <si>
    <t>286,37</t>
  </si>
  <si>
    <t>364,77</t>
  </si>
  <si>
    <t>547,27</t>
  </si>
  <si>
    <t>818,63</t>
  </si>
  <si>
    <t>499,61</t>
  </si>
  <si>
    <t>82,65</t>
  </si>
  <si>
    <t>252,58</t>
  </si>
  <si>
    <t>132,38</t>
  </si>
  <si>
    <t>353,60</t>
  </si>
  <si>
    <t>118,46</t>
  </si>
  <si>
    <t>4,36</t>
  </si>
  <si>
    <t>1.645,75</t>
  </si>
  <si>
    <t>1.902,22</t>
  </si>
  <si>
    <t>438,97</t>
  </si>
  <si>
    <t>541,97</t>
  </si>
  <si>
    <t>3.942,40</t>
  </si>
  <si>
    <t>1.413,06</t>
  </si>
  <si>
    <t>1.195,40</t>
  </si>
  <si>
    <t>2.173,96</t>
  </si>
  <si>
    <t>946,41</t>
  </si>
  <si>
    <t>1.222,85</t>
  </si>
  <si>
    <t>1.630,47</t>
  </si>
  <si>
    <t>1.847,86</t>
  </si>
  <si>
    <t>2.038,08</t>
  </si>
  <si>
    <t>1.358,72</t>
  </si>
  <si>
    <t>1.019,04</t>
  </si>
  <si>
    <t>815,23</t>
  </si>
  <si>
    <t>679,35</t>
  </si>
  <si>
    <t>1.093,90</t>
  </si>
  <si>
    <t>1.752,97</t>
  </si>
  <si>
    <t>1.168,64</t>
  </si>
  <si>
    <t>876,48</t>
  </si>
  <si>
    <t>701,18</t>
  </si>
  <si>
    <t>584,32</t>
  </si>
  <si>
    <t>407,62</t>
  </si>
  <si>
    <t>1.439,25</t>
  </si>
  <si>
    <t>2.445,69</t>
  </si>
  <si>
    <t>80,17</t>
  </si>
  <si>
    <t>186,68</t>
  </si>
  <si>
    <t>184,18</t>
  </si>
  <si>
    <t>547,98</t>
  </si>
  <si>
    <t>14,44</t>
  </si>
  <si>
    <t>125,84</t>
  </si>
  <si>
    <t>902,82</t>
  </si>
  <si>
    <t>1.841,11</t>
  </si>
  <si>
    <t>822,87</t>
  </si>
  <si>
    <t>431,27</t>
  </si>
  <si>
    <t>1.612,83</t>
  </si>
  <si>
    <t>768,78</t>
  </si>
  <si>
    <t>1.068,03</t>
  </si>
  <si>
    <t>1.074,06</t>
  </si>
  <si>
    <t>716,03</t>
  </si>
  <si>
    <t>537,03</t>
  </si>
  <si>
    <t>429,62</t>
  </si>
  <si>
    <t>358,01</t>
  </si>
  <si>
    <t>306,87</t>
  </si>
  <si>
    <t>268,51</t>
  </si>
  <si>
    <t>1.692,61</t>
  </si>
  <si>
    <t>1.128,40</t>
  </si>
  <si>
    <t>846,30</t>
  </si>
  <si>
    <t>677,04</t>
  </si>
  <si>
    <t>564,21</t>
  </si>
  <si>
    <t>483,61</t>
  </si>
  <si>
    <t>423,15</t>
  </si>
  <si>
    <t>376,13</t>
  </si>
  <si>
    <t>338,53</t>
  </si>
  <si>
    <t>307,74</t>
  </si>
  <si>
    <t>282,10</t>
  </si>
  <si>
    <t>359,33</t>
  </si>
  <si>
    <t>539,10</t>
  </si>
  <si>
    <t>806,41</t>
  </si>
  <si>
    <t>492,15</t>
  </si>
  <si>
    <t>81,42</t>
  </si>
  <si>
    <t>248,81</t>
  </si>
  <si>
    <t>130,40</t>
  </si>
  <si>
    <t>348,32</t>
  </si>
  <si>
    <t>116,69</t>
  </si>
  <si>
    <t>1.790,90</t>
  </si>
  <si>
    <t>800,43</t>
  </si>
  <si>
    <t>419,51</t>
  </si>
  <si>
    <t>1.568,84</t>
  </si>
  <si>
    <t>747,81</t>
  </si>
  <si>
    <t>1.038,90</t>
  </si>
  <si>
    <t>1.044,77</t>
  </si>
  <si>
    <t>696,51</t>
  </si>
  <si>
    <t>522,38</t>
  </si>
  <si>
    <t>417,90</t>
  </si>
  <si>
    <t>348,25</t>
  </si>
  <si>
    <t>298,50</t>
  </si>
  <si>
    <t>261,19</t>
  </si>
  <si>
    <t>1.646,45</t>
  </si>
  <si>
    <t>1.097,63</t>
  </si>
  <si>
    <t>823,22</t>
  </si>
  <si>
    <t>658,58</t>
  </si>
  <si>
    <t>548,82</t>
  </si>
  <si>
    <t>470,42</t>
  </si>
  <si>
    <t>411,61</t>
  </si>
  <si>
    <t>365,88</t>
  </si>
  <si>
    <t>329,29</t>
  </si>
  <si>
    <t>299,35</t>
  </si>
  <si>
    <t>274,40</t>
  </si>
  <si>
    <t>349,53</t>
  </si>
  <si>
    <t>524,40</t>
  </si>
  <si>
    <t>784,42</t>
  </si>
  <si>
    <t>478,73</t>
  </si>
  <si>
    <t>79,20</t>
  </si>
  <si>
    <t>242,02</t>
  </si>
  <si>
    <t>126,85</t>
  </si>
  <si>
    <t>338,82</t>
  </si>
  <si>
    <t>113,51</t>
  </si>
  <si>
    <t>533,04</t>
  </si>
  <si>
    <t>14,05</t>
  </si>
  <si>
    <t>1.600,87</t>
  </si>
  <si>
    <t>1.917,45</t>
  </si>
  <si>
    <t>Telefonisk rådgivning af praktiserende læge</t>
  </si>
  <si>
    <t>442,48</t>
  </si>
  <si>
    <t>410,88</t>
  </si>
  <si>
    <t>1. kons. udredn. - overvejelser ift. somatiske unders. og KRAM</t>
  </si>
  <si>
    <t>3.834,88</t>
  </si>
  <si>
    <t>1.424,38</t>
  </si>
  <si>
    <t>Klinisk psykiatrisk observation, udredningsforløb</t>
  </si>
  <si>
    <t>1.204,97</t>
  </si>
  <si>
    <t>2.191,36</t>
  </si>
  <si>
    <t>Skriftlig tilbagemelding efter udredningsforløb</t>
  </si>
  <si>
    <t>684,80</t>
  </si>
  <si>
    <t>Samtale - primært medicinsk behandlingssigte</t>
  </si>
  <si>
    <t>1.232,64</t>
  </si>
  <si>
    <t>Samtale - primært psykoterap. behandlingssigte, individuelt med pt.</t>
  </si>
  <si>
    <t>1.643,52</t>
  </si>
  <si>
    <t>Samtale - primært psykoterap. beh.sigte, mere end een deltager -</t>
  </si>
  <si>
    <t>1.862,66</t>
  </si>
  <si>
    <t>Psykoterapi, 2 personer</t>
  </si>
  <si>
    <t>2.054,40</t>
  </si>
  <si>
    <t>Psykoterapi, 3 personer</t>
  </si>
  <si>
    <t>1.369,60</t>
  </si>
  <si>
    <t>Psykoterapi, 4 personer</t>
  </si>
  <si>
    <t>1.027,20</t>
  </si>
  <si>
    <t>Psykoterapi, 5 personer</t>
  </si>
  <si>
    <t>821,76</t>
  </si>
  <si>
    <t>Psykoterapi, 6 personer</t>
  </si>
  <si>
    <t>Samtale med primært psykoeduktativt beh.sigte, individuelt med pt.</t>
  </si>
  <si>
    <t>1.102,66</t>
  </si>
  <si>
    <t>Psykoeduktation uden forældre, 2 personer</t>
  </si>
  <si>
    <t>1.705,16</t>
  </si>
  <si>
    <t>Psykoeduktation uden forældre, 3 personer</t>
  </si>
  <si>
    <t>1.136,76</t>
  </si>
  <si>
    <t>Psykoeduktation uden forældre, 4 personer</t>
  </si>
  <si>
    <t>852,58</t>
  </si>
  <si>
    <t>Psykoeduktation uden forældre, 5 personer</t>
  </si>
  <si>
    <t>682,06</t>
  </si>
  <si>
    <t>Psykoeduktation uden forældre, 6 personer</t>
  </si>
  <si>
    <t>568,39</t>
  </si>
  <si>
    <t>Psykoeduktation forældregruppe, 2 personer</t>
  </si>
  <si>
    <t>Psykoeduktation forældregruppe, 3 personer</t>
  </si>
  <si>
    <t>Psykoeduktation forældregruppe, 4 personer</t>
  </si>
  <si>
    <t>Psykoeduktation forældregruppe, 5 personer</t>
  </si>
  <si>
    <t>Psykoeduktation forældregruppe, 6 personer</t>
  </si>
  <si>
    <t>Opg. af ADOS/ADI-R eller lignende tidskrævende us. i udredn.forløb</t>
  </si>
  <si>
    <t>Klinisk psykiatrisk observation/behandling i et beh.forløb, individuelt</t>
  </si>
  <si>
    <t>2.465,28</t>
  </si>
  <si>
    <t>Opg. ADOS/ADI-R eller lignende tidskrævende us. i et behandl.forløb</t>
  </si>
  <si>
    <t>2305</t>
  </si>
  <si>
    <t>Skriftlig tilbagemelding under/efter et behandlingsforløb*</t>
  </si>
  <si>
    <t>80,81</t>
  </si>
  <si>
    <t>0106</t>
  </si>
  <si>
    <t>2. og senere e-mail konsultation samme dag</t>
  </si>
  <si>
    <t>Tlf.kons. patienter/forældre/pårørende i udredn.- eller beh.forløb</t>
  </si>
  <si>
    <t>188,18</t>
  </si>
  <si>
    <t>Tlf.kons. netværk/samarbejdspartn. i udredn.- eller beh.forløb</t>
  </si>
  <si>
    <t>185,65</t>
  </si>
  <si>
    <t>910,05</t>
  </si>
  <si>
    <t>ahahaha</t>
  </si>
  <si>
    <t>asdas0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</si>
</sst>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0" fillId="0" borderId="0" xfId="0" applyNumberFormat="1"/>
    <xf numFmtId="0" fontId="4" fillId="2" borderId="0" xfId="0" applyFont="1" applyFill="1"/>
    <xf numFmtId="43" fontId="0" fillId="0" borderId="0" xfId="1" applyFont="1"/>
    <xf numFmtId="0" fontId="2" fillId="0" borderId="0" xfId="1" applyNumberFormat="1" applyFont="1"/>
  </cellXfs>
  <cellStyles count="2">
    <cellStyle name="Komma" xfId="1" builtinId="3"/>
    <cellStyle name="Normal" xfId="0" builtinId="0"/>
  </cellStyles>
  <dxfs count="9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2" xr16:uid="{DD55FDE8-AF3C-4C6A-A579-572978E111EF}" autoFormatId="16" applyNumberFormats="0" applyBorderFormats="0" applyFontFormats="0" applyPatternFormats="0" applyAlignmentFormats="0" applyWidthHeightFormats="0">
  <queryTableRefresh nextId="6">
    <queryTableFields count="5">
      <queryTableField id="1" name="gyldig_fra" tableColumnId="1"/>
      <queryTableField id="2" name="mappe_id" tableColumnId="2"/>
      <queryTableField id="3" name="kode" tableColumnId="3"/>
      <queryTableField id="4" name="ydelse" tableColumnId="4"/>
      <queryTableField id="5" name="beloeb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9E22F86-3F96-45F9-99BE-C6DE946B4CC8}" autoFormatId="16" applyNumberFormats="0" applyBorderFormats="0" applyFontFormats="0" applyPatternFormats="0" applyAlignmentFormats="0" applyWidthHeightFormats="0">
  <queryTableRefresh nextId="6">
    <queryTableFields count="5">
      <queryTableField id="1" name="gyldig_fra" tableColumnId="1"/>
      <queryTableField id="2" name="mappe_id" tableColumnId="2"/>
      <queryTableField id="3" name="kode" tableColumnId="3"/>
      <queryTableField id="4" name="ydelse" tableColumnId="4"/>
      <queryTableField id="5" name="beloeb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0FBFF1-62A1-4DAC-A304-B4D53B6BF837}" name="Tabel_1" displayName="Tabel_1" ref="A1:E23" tableType="queryTable" totalsRowShown="0">
  <autoFilter ref="A1:E23" xr:uid="{7B0FBFF1-62A1-4DAC-A304-B4D53B6BF837}"/>
  <tableColumns count="5">
    <tableColumn id="1" xr3:uid="{6245B9E8-F316-4C52-A8D7-E7CB4358C055}" uniqueName="1" name="gyldig_fra" queryTableFieldId="1" dataDxfId="8"/>
    <tableColumn id="2" xr3:uid="{41029179-ED33-40E6-A82F-A09ADECAE2E3}" uniqueName="2" name="mappe_id" queryTableFieldId="2" dataDxfId="7"/>
    <tableColumn id="3" xr3:uid="{82B88A92-9938-415F-B65A-3E4CCDE40AB5}" uniqueName="3" name="kode" queryTableFieldId="3" dataDxfId="6"/>
    <tableColumn id="4" xr3:uid="{439B64D4-1CFF-48AB-AB50-23AB3368B161}" uniqueName="4" name="ydelse" queryTableFieldId="4" dataDxfId="5"/>
    <tableColumn id="5" xr3:uid="{DDCD766F-7794-4C58-9551-D4065A162E6E}" uniqueName="5" name="beloeb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32A2B-C850-4F58-8CB8-A5EFB56B3F3A}" name="Gruppe2_Takstmapper" displayName="Gruppe2_Takstmapper" ref="A1:E520" tableType="queryTable" totalsRowShown="0">
  <autoFilter ref="A1:E520" xr:uid="{CB232A2B-C850-4F58-8CB8-A5EFB56B3F3A}"/>
  <sortState xmlns:xlrd2="http://schemas.microsoft.com/office/spreadsheetml/2017/richdata2" ref="A2:E520">
    <sortCondition descending="1" ref="A1:A520"/>
  </sortState>
  <tableColumns count="5">
    <tableColumn id="1" xr3:uid="{FBC5871B-6395-443B-93C3-775988545435}" uniqueName="1" name="gyldig_fra" queryTableFieldId="1" dataDxfId="4"/>
    <tableColumn id="2" xr3:uid="{1D014A08-037A-436A-954C-4E1F65B2D561}" uniqueName="2" name="mappe_id" queryTableFieldId="2" dataDxfId="3"/>
    <tableColumn id="3" xr3:uid="{C72A61D7-D22E-43EE-8851-FA11DD64B0D6}" uniqueName="3" name="kode" queryTableFieldId="3" dataDxfId="2"/>
    <tableColumn id="4" xr3:uid="{4D6852E1-43BC-472F-9B43-17174656746E}" uniqueName="4" name="ydelse" queryTableFieldId="4" dataDxfId="1"/>
    <tableColumn id="5" xr3:uid="{48E71AD8-33FC-43CE-954F-5DCE82083778}" uniqueName="5" name="beloeb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8B9F-4BAE-4119-88F8-B00020E1F48A}">
  <dimension ref="A1:Q30"/>
  <sheetViews>
    <sheetView workbookViewId="0">
      <selection activeCell="I21" sqref="I21"/>
    </sheetView>
  </sheetViews>
  <sheetFormatPr defaultRowHeight="15" x14ac:dyDescent="0.25"/>
  <cols>
    <col min="1" max="1" width="15.85546875" bestFit="1" customWidth="1"/>
    <col min="2" max="2" width="16.140625" bestFit="1" customWidth="1"/>
    <col min="3" max="3" width="6.42578125" bestFit="1" customWidth="1"/>
    <col min="4" max="4" width="16.7109375" style="2" bestFit="1" customWidth="1"/>
    <col min="5" max="5" width="9.5703125" style="2" bestFit="1" customWidth="1"/>
    <col min="6" max="6" width="12.28515625" style="9" bestFit="1" customWidth="1"/>
    <col min="7" max="7" width="15.28515625" style="9" bestFit="1" customWidth="1"/>
    <col min="8" max="8" width="10.85546875" bestFit="1" customWidth="1"/>
    <col min="9" max="9" width="16.7109375" bestFit="1" customWidth="1"/>
    <col min="10" max="10" width="13.7109375" bestFit="1" customWidth="1"/>
    <col min="11" max="11" width="11.7109375" bestFit="1" customWidth="1"/>
    <col min="12" max="12" width="10.42578125" bestFit="1" customWidth="1"/>
    <col min="13" max="13" width="37.140625" bestFit="1" customWidth="1"/>
    <col min="14" max="14" width="11.140625" bestFit="1" customWidth="1"/>
    <col min="15" max="15" width="12.85546875" bestFit="1" customWidth="1"/>
    <col min="16" max="16" width="27.5703125" bestFit="1" customWidth="1"/>
    <col min="17" max="17" width="19.5703125" bestFit="1" customWidth="1"/>
  </cols>
  <sheetData>
    <row r="1" spans="1:17" x14ac:dyDescent="0.25">
      <c r="A1" s="3" t="s">
        <v>291</v>
      </c>
      <c r="B1" s="3" t="s">
        <v>292</v>
      </c>
      <c r="C1" s="5" t="s">
        <v>286</v>
      </c>
      <c r="D1" s="6" t="s">
        <v>287</v>
      </c>
      <c r="E1" s="6" t="s">
        <v>288</v>
      </c>
      <c r="F1" s="10" t="s">
        <v>289</v>
      </c>
      <c r="G1" s="10" t="s">
        <v>290</v>
      </c>
      <c r="H1" s="4" t="s">
        <v>293</v>
      </c>
      <c r="I1" s="4" t="s">
        <v>294</v>
      </c>
      <c r="J1" s="4" t="s">
        <v>295</v>
      </c>
      <c r="K1" s="4" t="s">
        <v>296</v>
      </c>
      <c r="L1" s="4" t="s">
        <v>297</v>
      </c>
      <c r="M1" s="4" t="s">
        <v>298</v>
      </c>
      <c r="N1" s="4" t="s">
        <v>299</v>
      </c>
      <c r="O1" s="4" t="s">
        <v>300</v>
      </c>
      <c r="P1" s="8" t="s">
        <v>301</v>
      </c>
      <c r="Q1" s="8" t="s">
        <v>302</v>
      </c>
    </row>
    <row r="2" spans="1:17" x14ac:dyDescent="0.25">
      <c r="B2" s="1">
        <v>45917</v>
      </c>
      <c r="C2">
        <v>1</v>
      </c>
      <c r="D2" s="2" t="s">
        <v>98</v>
      </c>
      <c r="E2" s="2" t="s">
        <v>5</v>
      </c>
      <c r="F2" s="9">
        <f>IFERROR(MIN(_xlfn.NUMBERVALUE(G2),_xlfn.NUMBERVALUE(Q2)), "-")</f>
        <v>1432.33</v>
      </c>
      <c r="G2" s="9">
        <v>3000</v>
      </c>
      <c r="P2" t="str" cm="1">
        <f t="array" ref="P2">_xlfn.XLOOKUP(1, (Gruppe2_Takstmapper[kode]=$D2)*(Gruppe2_Takstmapper[mappe_id]=$E2)*(Gruppe2_Takstmapper[gyldig_fra]=_xlfn.MAXIFS(Gruppe2_Takstmapper[gyldig_fra], Gruppe2_Takstmapper[kode], $D2, Gruppe2_Takstmapper[mappe_id], $E2, Gruppe2_Takstmapper[gyldig_fra], "&lt;=" &amp; $B2)), Gruppe2_Takstmapper[ydelse], "-")</f>
        <v>Samtale med udredningssigte</v>
      </c>
      <c r="Q2" t="str" cm="1">
        <f t="array" ref="Q2">_xlfn.XLOOKUP(1, (Gruppe2_Takstmapper[kode]=$D2)*(Gruppe2_Takstmapper[mappe_id]=$E2)*(Gruppe2_Takstmapper[gyldig_fra]=_xlfn.MAXIFS(Gruppe2_Takstmapper[gyldig_fra], Gruppe2_Takstmapper[kode], $D2, Gruppe2_Takstmapper[mappe_id], $E2, Gruppe2_Takstmapper[gyldig_fra], "&lt;=" &amp; $B2)), Gruppe2_Takstmapper[beloeb], "-")</f>
        <v>1.432,33</v>
      </c>
    </row>
    <row r="3" spans="1:17" x14ac:dyDescent="0.25">
      <c r="B3" s="1">
        <v>46008</v>
      </c>
      <c r="C3">
        <v>1</v>
      </c>
      <c r="D3" s="2" t="s">
        <v>98</v>
      </c>
      <c r="E3" s="2" t="s">
        <v>5</v>
      </c>
      <c r="F3" s="9">
        <f t="shared" ref="F3:F4" si="0">IFERROR(MIN(_xlfn.NUMBERVALUE(G3),_xlfn.NUMBERVALUE(Q3)), "-")</f>
        <v>1000</v>
      </c>
      <c r="G3" s="9">
        <v>1000</v>
      </c>
      <c r="P3" t="str" cm="1">
        <f t="array" ref="P3">_xlfn.XLOOKUP(1, (Gruppe2_Takstmapper[kode]=$D3)*(Gruppe2_Takstmapper[mappe_id]=$E3)*(Gruppe2_Takstmapper[gyldig_fra]=_xlfn.MAXIFS(Gruppe2_Takstmapper[gyldig_fra], Gruppe2_Takstmapper[kode], $D3, Gruppe2_Takstmapper[mappe_id], $E3, Gruppe2_Takstmapper[gyldig_fra], "&lt;=" &amp; $B3)), Gruppe2_Takstmapper[ydelse], "-")</f>
        <v>Samtale med udredningssigte</v>
      </c>
      <c r="Q3" t="str" cm="1">
        <f t="array" ref="Q3">_xlfn.XLOOKUP(1, (Gruppe2_Takstmapper[kode]=$D3)*(Gruppe2_Takstmapper[mappe_id]=$E3)*(Gruppe2_Takstmapper[gyldig_fra]=_xlfn.MAXIFS(Gruppe2_Takstmapper[gyldig_fra], Gruppe2_Takstmapper[kode], $D3, Gruppe2_Takstmapper[mappe_id], $E3, Gruppe2_Takstmapper[gyldig_fra], "&lt;=" &amp; $B3)), Gruppe2_Takstmapper[beloeb], "-")</f>
        <v>1.446,25</v>
      </c>
    </row>
    <row r="4" spans="1:17" x14ac:dyDescent="0.25">
      <c r="B4" s="1">
        <v>45292</v>
      </c>
      <c r="C4">
        <v>1</v>
      </c>
      <c r="D4" s="2" t="s">
        <v>88</v>
      </c>
      <c r="E4" s="2" t="s">
        <v>50</v>
      </c>
      <c r="F4" s="9">
        <f t="shared" si="0"/>
        <v>500</v>
      </c>
      <c r="G4" s="9">
        <v>500</v>
      </c>
      <c r="P4" t="str" cm="1">
        <f t="array" ref="P4">_xlfn.XLOOKUP(1, (Gruppe2_Takstmapper[kode]=$D4)*(Gruppe2_Takstmapper[mappe_id]=$E4)*(Gruppe2_Takstmapper[gyldig_fra]=_xlfn.MAXIFS(Gruppe2_Takstmapper[gyldig_fra], Gruppe2_Takstmapper[kode], $D4, Gruppe2_Takstmapper[mappe_id], $E4, Gruppe2_Takstmapper[gyldig_fra], "&lt;=" &amp; $B4)), Gruppe2_Takstmapper[ydelse], "-")</f>
        <v>Vurdering af patient ved enkeltstående konsultation</v>
      </c>
      <c r="Q4" t="str" cm="1">
        <f t="array" ref="Q4">_xlfn.XLOOKUP(1, (Gruppe2_Takstmapper[kode]=$D4)*(Gruppe2_Takstmapper[mappe_id]=$E4)*(Gruppe2_Takstmapper[gyldig_fra]=_xlfn.MAXIFS(Gruppe2_Takstmapper[gyldig_fra], Gruppe2_Takstmapper[kode], $D4, Gruppe2_Takstmapper[mappe_id], $E4, Gruppe2_Takstmapper[gyldig_fra], "&lt;=" &amp; $B4)), Gruppe2_Takstmapper[beloeb], "-")</f>
        <v>1.790,90</v>
      </c>
    </row>
    <row r="5" spans="1:17" x14ac:dyDescent="0.25">
      <c r="B5" s="1">
        <v>45813</v>
      </c>
      <c r="C5">
        <v>1</v>
      </c>
      <c r="D5" s="2" t="s">
        <v>98</v>
      </c>
      <c r="E5" s="2" t="s">
        <v>5</v>
      </c>
      <c r="F5" s="9">
        <f>IFERROR(MIN(_xlfn.NUMBERVALUE(G5),_xlfn.NUMBERVALUE(Q5)), "-")</f>
        <v>200</v>
      </c>
      <c r="G5" s="9">
        <v>200</v>
      </c>
      <c r="P5" t="str" cm="1">
        <f t="array" ref="P5">_xlfn.XLOOKUP(1, (Gruppe2_Takstmapper[kode]=$D5)*(Gruppe2_Takstmapper[mappe_id]=$E5)*(Gruppe2_Takstmapper[gyldig_fra]=_xlfn.MAXIFS(Gruppe2_Takstmapper[gyldig_fra], Gruppe2_Takstmapper[kode], $D5, Gruppe2_Takstmapper[mappe_id], $E5, Gruppe2_Takstmapper[gyldig_fra], "&lt;=" &amp; $B5)), Gruppe2_Takstmapper[ydelse], "-")</f>
        <v>Samtale med udredningssigte</v>
      </c>
      <c r="Q5" t="str" cm="1">
        <f t="array" ref="Q5">_xlfn.XLOOKUP(1, (Gruppe2_Takstmapper[kode]=$D5)*(Gruppe2_Takstmapper[mappe_id]=$E5)*(Gruppe2_Takstmapper[gyldig_fra]=_xlfn.MAXIFS(Gruppe2_Takstmapper[gyldig_fra], Gruppe2_Takstmapper[kode], $D5, Gruppe2_Takstmapper[mappe_id], $E5, Gruppe2_Takstmapper[gyldig_fra], "&lt;=" &amp; $B5)), Gruppe2_Takstmapper[beloeb], "-")</f>
        <v>1.432,33</v>
      </c>
    </row>
    <row r="6" spans="1:17" x14ac:dyDescent="0.25">
      <c r="B6" s="1">
        <v>45478</v>
      </c>
      <c r="C6">
        <v>1</v>
      </c>
      <c r="D6" s="2" t="s">
        <v>98</v>
      </c>
      <c r="E6" s="2" t="s">
        <v>50</v>
      </c>
      <c r="F6" s="9">
        <f t="shared" ref="F6:F30" si="1">IFERROR(MIN(_xlfn.NUMBERVALUE(G6),_xlfn.NUMBERVALUE(Q6)), "-")</f>
        <v>600</v>
      </c>
      <c r="G6" s="9">
        <v>600</v>
      </c>
      <c r="P6" t="str" cm="1">
        <f t="array" ref="P6">_xlfn.XLOOKUP(1, (Gruppe2_Takstmapper[kode]=$D6)*(Gruppe2_Takstmapper[mappe_id]=$E6)*(Gruppe2_Takstmapper[gyldig_fra]=_xlfn.MAXIFS(Gruppe2_Takstmapper[gyldig_fra], Gruppe2_Takstmapper[kode], $D6, Gruppe2_Takstmapper[mappe_id], $E6, Gruppe2_Takstmapper[gyldig_fra], "&lt;=" &amp; $B6)), Gruppe2_Takstmapper[ydelse], "-")</f>
        <v>2. konsultation - Udredningsforløb - grundforløb</v>
      </c>
      <c r="Q6" t="str" cm="1">
        <f t="array" ref="Q6">_xlfn.XLOOKUP(1, (Gruppe2_Takstmapper[kode]=$D6)*(Gruppe2_Takstmapper[mappe_id]=$E6)*(Gruppe2_Takstmapper[gyldig_fra]=_xlfn.MAXIFS(Gruppe2_Takstmapper[gyldig_fra], Gruppe2_Takstmapper[kode], $D6, Gruppe2_Takstmapper[mappe_id], $E6, Gruppe2_Takstmapper[gyldig_fra], "&lt;=" &amp; $B6)), Gruppe2_Takstmapper[beloeb], "-")</f>
        <v>1.612,83</v>
      </c>
    </row>
    <row r="7" spans="1:17" x14ac:dyDescent="0.25">
      <c r="F7" s="9" t="str">
        <f t="shared" si="1"/>
        <v>-</v>
      </c>
      <c r="P7" t="str" cm="1">
        <f t="array" ref="P7">_xlfn.XLOOKUP(1, (Gruppe2_Takstmapper[kode]=$D7)*(Gruppe2_Takstmapper[mappe_id]=$E7)*(Gruppe2_Takstmapper[gyldig_fra]=_xlfn.MAXIFS(Gruppe2_Takstmapper[gyldig_fra], Gruppe2_Takstmapper[kode], $D7, Gruppe2_Takstmapper[mappe_id], $E7, Gruppe2_Takstmapper[gyldig_fra], "&lt;=" &amp; $B7)), Gruppe2_Takstmapper[ydelse], "-")</f>
        <v>-</v>
      </c>
      <c r="Q7" t="str" cm="1">
        <f t="array" ref="Q7">_xlfn.XLOOKUP(1, (Gruppe2_Takstmapper[kode]=$D7)*(Gruppe2_Takstmapper[mappe_id]=$E7)*(Gruppe2_Takstmapper[gyldig_fra]=_xlfn.MAXIFS(Gruppe2_Takstmapper[gyldig_fra], Gruppe2_Takstmapper[kode], $D7, Gruppe2_Takstmapper[mappe_id], $E7, Gruppe2_Takstmapper[gyldig_fra], "&lt;=" &amp; $B7)), Gruppe2_Takstmapper[beloeb], "-")</f>
        <v>-</v>
      </c>
    </row>
    <row r="8" spans="1:17" x14ac:dyDescent="0.25">
      <c r="F8" s="9" t="str">
        <f t="shared" si="1"/>
        <v>-</v>
      </c>
      <c r="P8" t="str" cm="1">
        <f t="array" ref="P8">_xlfn.XLOOKUP(1, (Gruppe2_Takstmapper[kode]=$D8)*(Gruppe2_Takstmapper[mappe_id]=$E8)*(Gruppe2_Takstmapper[gyldig_fra]=_xlfn.MAXIFS(Gruppe2_Takstmapper[gyldig_fra], Gruppe2_Takstmapper[kode], $D8, Gruppe2_Takstmapper[mappe_id], $E8, Gruppe2_Takstmapper[gyldig_fra], "&lt;=" &amp; $B8)), Gruppe2_Takstmapper[ydelse], "-")</f>
        <v>-</v>
      </c>
      <c r="Q8" t="str" cm="1">
        <f t="array" ref="Q8">_xlfn.XLOOKUP(1, (Gruppe2_Takstmapper[kode]=$D8)*(Gruppe2_Takstmapper[mappe_id]=$E8)*(Gruppe2_Takstmapper[gyldig_fra]=_xlfn.MAXIFS(Gruppe2_Takstmapper[gyldig_fra], Gruppe2_Takstmapper[kode], $D8, Gruppe2_Takstmapper[mappe_id], $E8, Gruppe2_Takstmapper[gyldig_fra], "&lt;=" &amp; $B8)), Gruppe2_Takstmapper[beloeb], "-")</f>
        <v>-</v>
      </c>
    </row>
    <row r="9" spans="1:17" x14ac:dyDescent="0.25">
      <c r="F9" s="9" t="str">
        <f t="shared" si="1"/>
        <v>-</v>
      </c>
      <c r="P9" t="str" cm="1">
        <f t="array" ref="P9">_xlfn.XLOOKUP(1, (Gruppe2_Takstmapper[kode]=$D9)*(Gruppe2_Takstmapper[mappe_id]=$E9)*(Gruppe2_Takstmapper[gyldig_fra]=_xlfn.MAXIFS(Gruppe2_Takstmapper[gyldig_fra], Gruppe2_Takstmapper[kode], $D9, Gruppe2_Takstmapper[mappe_id], $E9, Gruppe2_Takstmapper[gyldig_fra], "&lt;=" &amp; $B9)), Gruppe2_Takstmapper[ydelse], "-")</f>
        <v>-</v>
      </c>
      <c r="Q9" t="str" cm="1">
        <f t="array" ref="Q9">_xlfn.XLOOKUP(1, (Gruppe2_Takstmapper[kode]=$D9)*(Gruppe2_Takstmapper[mappe_id]=$E9)*(Gruppe2_Takstmapper[gyldig_fra]=_xlfn.MAXIFS(Gruppe2_Takstmapper[gyldig_fra], Gruppe2_Takstmapper[kode], $D9, Gruppe2_Takstmapper[mappe_id], $E9, Gruppe2_Takstmapper[gyldig_fra], "&lt;=" &amp; $B9)), Gruppe2_Takstmapper[beloeb], "-")</f>
        <v>-</v>
      </c>
    </row>
    <row r="10" spans="1:17" x14ac:dyDescent="0.25">
      <c r="F10" s="9" t="str">
        <f t="shared" si="1"/>
        <v>-</v>
      </c>
      <c r="P10" t="str" cm="1">
        <f t="array" ref="P10">_xlfn.XLOOKUP(1, (Gruppe2_Takstmapper[kode]=$D10)*(Gruppe2_Takstmapper[mappe_id]=$E10)*(Gruppe2_Takstmapper[gyldig_fra]=_xlfn.MAXIFS(Gruppe2_Takstmapper[gyldig_fra], Gruppe2_Takstmapper[kode], $D10, Gruppe2_Takstmapper[mappe_id], $E10, Gruppe2_Takstmapper[gyldig_fra], "&lt;=" &amp; $B10)), Gruppe2_Takstmapper[ydelse], "-")</f>
        <v>-</v>
      </c>
      <c r="Q10" t="str" cm="1">
        <f t="array" ref="Q10">_xlfn.XLOOKUP(1, (Gruppe2_Takstmapper[kode]=$D10)*(Gruppe2_Takstmapper[mappe_id]=$E10)*(Gruppe2_Takstmapper[gyldig_fra]=_xlfn.MAXIFS(Gruppe2_Takstmapper[gyldig_fra], Gruppe2_Takstmapper[kode], $D10, Gruppe2_Takstmapper[mappe_id], $E10, Gruppe2_Takstmapper[gyldig_fra], "&lt;=" &amp; $B10)), Gruppe2_Takstmapper[beloeb], "-")</f>
        <v>-</v>
      </c>
    </row>
    <row r="11" spans="1:17" x14ac:dyDescent="0.25">
      <c r="F11" s="9" t="str">
        <f t="shared" si="1"/>
        <v>-</v>
      </c>
      <c r="P11" t="str" cm="1">
        <f t="array" ref="P11">_xlfn.XLOOKUP(1, (Gruppe2_Takstmapper[kode]=$D11)*(Gruppe2_Takstmapper[mappe_id]=$E11)*(Gruppe2_Takstmapper[gyldig_fra]=_xlfn.MAXIFS(Gruppe2_Takstmapper[gyldig_fra], Gruppe2_Takstmapper[kode], $D11, Gruppe2_Takstmapper[mappe_id], $E11, Gruppe2_Takstmapper[gyldig_fra], "&lt;=" &amp; $B11)), Gruppe2_Takstmapper[ydelse], "-")</f>
        <v>-</v>
      </c>
      <c r="Q11" t="str" cm="1">
        <f t="array" ref="Q11">_xlfn.XLOOKUP(1, (Gruppe2_Takstmapper[kode]=$D11)*(Gruppe2_Takstmapper[mappe_id]=$E11)*(Gruppe2_Takstmapper[gyldig_fra]=_xlfn.MAXIFS(Gruppe2_Takstmapper[gyldig_fra], Gruppe2_Takstmapper[kode], $D11, Gruppe2_Takstmapper[mappe_id], $E11, Gruppe2_Takstmapper[gyldig_fra], "&lt;=" &amp; $B11)), Gruppe2_Takstmapper[beloeb], "-")</f>
        <v>-</v>
      </c>
    </row>
    <row r="12" spans="1:17" x14ac:dyDescent="0.25">
      <c r="F12" s="9" t="str">
        <f t="shared" si="1"/>
        <v>-</v>
      </c>
      <c r="P12" t="str" cm="1">
        <f t="array" ref="P12">_xlfn.XLOOKUP(1, (Gruppe2_Takstmapper[kode]=$D12)*(Gruppe2_Takstmapper[mappe_id]=$E12)*(Gruppe2_Takstmapper[gyldig_fra]=_xlfn.MAXIFS(Gruppe2_Takstmapper[gyldig_fra], Gruppe2_Takstmapper[kode], $D12, Gruppe2_Takstmapper[mappe_id], $E12, Gruppe2_Takstmapper[gyldig_fra], "&lt;=" &amp; $B12)), Gruppe2_Takstmapper[ydelse], "-")</f>
        <v>-</v>
      </c>
      <c r="Q12" t="str" cm="1">
        <f t="array" ref="Q12">_xlfn.XLOOKUP(1, (Gruppe2_Takstmapper[kode]=$D12)*(Gruppe2_Takstmapper[mappe_id]=$E12)*(Gruppe2_Takstmapper[gyldig_fra]=_xlfn.MAXIFS(Gruppe2_Takstmapper[gyldig_fra], Gruppe2_Takstmapper[kode], $D12, Gruppe2_Takstmapper[mappe_id], $E12, Gruppe2_Takstmapper[gyldig_fra], "&lt;=" &amp; $B12)), Gruppe2_Takstmapper[beloeb], "-")</f>
        <v>-</v>
      </c>
    </row>
    <row r="13" spans="1:17" x14ac:dyDescent="0.25">
      <c r="F13" s="9" t="str">
        <f t="shared" si="1"/>
        <v>-</v>
      </c>
      <c r="P13" t="str" cm="1">
        <f t="array" ref="P13">_xlfn.XLOOKUP(1, (Gruppe2_Takstmapper[kode]=$D13)*(Gruppe2_Takstmapper[mappe_id]=$E13)*(Gruppe2_Takstmapper[gyldig_fra]=_xlfn.MAXIFS(Gruppe2_Takstmapper[gyldig_fra], Gruppe2_Takstmapper[kode], $D13, Gruppe2_Takstmapper[mappe_id], $E13, Gruppe2_Takstmapper[gyldig_fra], "&lt;=" &amp; $B13)), Gruppe2_Takstmapper[ydelse], "-")</f>
        <v>-</v>
      </c>
      <c r="Q13" t="str" cm="1">
        <f t="array" ref="Q13">_xlfn.XLOOKUP(1, (Gruppe2_Takstmapper[kode]=$D13)*(Gruppe2_Takstmapper[mappe_id]=$E13)*(Gruppe2_Takstmapper[gyldig_fra]=_xlfn.MAXIFS(Gruppe2_Takstmapper[gyldig_fra], Gruppe2_Takstmapper[kode], $D13, Gruppe2_Takstmapper[mappe_id], $E13, Gruppe2_Takstmapper[gyldig_fra], "&lt;=" &amp; $B13)), Gruppe2_Takstmapper[beloeb], "-")</f>
        <v>-</v>
      </c>
    </row>
    <row r="14" spans="1:17" x14ac:dyDescent="0.25">
      <c r="F14" s="9" t="str">
        <f t="shared" si="1"/>
        <v>-</v>
      </c>
      <c r="P14" t="str" cm="1">
        <f t="array" ref="P14">_xlfn.XLOOKUP(1, (Gruppe2_Takstmapper[kode]=$D14)*(Gruppe2_Takstmapper[mappe_id]=$E14)*(Gruppe2_Takstmapper[gyldig_fra]=_xlfn.MAXIFS(Gruppe2_Takstmapper[gyldig_fra], Gruppe2_Takstmapper[kode], $D14, Gruppe2_Takstmapper[mappe_id], $E14, Gruppe2_Takstmapper[gyldig_fra], "&lt;=" &amp; $B14)), Gruppe2_Takstmapper[ydelse], "-")</f>
        <v>-</v>
      </c>
      <c r="Q14" t="str" cm="1">
        <f t="array" ref="Q14">_xlfn.XLOOKUP(1, (Gruppe2_Takstmapper[kode]=$D14)*(Gruppe2_Takstmapper[mappe_id]=$E14)*(Gruppe2_Takstmapper[gyldig_fra]=_xlfn.MAXIFS(Gruppe2_Takstmapper[gyldig_fra], Gruppe2_Takstmapper[kode], $D14, Gruppe2_Takstmapper[mappe_id], $E14, Gruppe2_Takstmapper[gyldig_fra], "&lt;=" &amp; $B14)), Gruppe2_Takstmapper[beloeb], "-")</f>
        <v>-</v>
      </c>
    </row>
    <row r="15" spans="1:17" x14ac:dyDescent="0.25">
      <c r="F15" s="9" t="str">
        <f t="shared" si="1"/>
        <v>-</v>
      </c>
      <c r="P15" t="str" cm="1">
        <f t="array" ref="P15">_xlfn.XLOOKUP(1, (Gruppe2_Takstmapper[kode]=$D15)*(Gruppe2_Takstmapper[mappe_id]=$E15)*(Gruppe2_Takstmapper[gyldig_fra]=_xlfn.MAXIFS(Gruppe2_Takstmapper[gyldig_fra], Gruppe2_Takstmapper[kode], $D15, Gruppe2_Takstmapper[mappe_id], $E15, Gruppe2_Takstmapper[gyldig_fra], "&lt;=" &amp; $B15)), Gruppe2_Takstmapper[ydelse], "-")</f>
        <v>-</v>
      </c>
      <c r="Q15" t="str" cm="1">
        <f t="array" ref="Q15">_xlfn.XLOOKUP(1, (Gruppe2_Takstmapper[kode]=$D15)*(Gruppe2_Takstmapper[mappe_id]=$E15)*(Gruppe2_Takstmapper[gyldig_fra]=_xlfn.MAXIFS(Gruppe2_Takstmapper[gyldig_fra], Gruppe2_Takstmapper[kode], $D15, Gruppe2_Takstmapper[mappe_id], $E15, Gruppe2_Takstmapper[gyldig_fra], "&lt;=" &amp; $B15)), Gruppe2_Takstmapper[beloeb], "-")</f>
        <v>-</v>
      </c>
    </row>
    <row r="16" spans="1:17" x14ac:dyDescent="0.25">
      <c r="F16" s="9" t="str">
        <f t="shared" si="1"/>
        <v>-</v>
      </c>
      <c r="P16" t="str" cm="1">
        <f t="array" ref="P16">_xlfn.XLOOKUP(1, (Gruppe2_Takstmapper[kode]=$D16)*(Gruppe2_Takstmapper[mappe_id]=$E16)*(Gruppe2_Takstmapper[gyldig_fra]=_xlfn.MAXIFS(Gruppe2_Takstmapper[gyldig_fra], Gruppe2_Takstmapper[kode], $D16, Gruppe2_Takstmapper[mappe_id], $E16, Gruppe2_Takstmapper[gyldig_fra], "&lt;=" &amp; $B16)), Gruppe2_Takstmapper[ydelse], "-")</f>
        <v>-</v>
      </c>
      <c r="Q16" t="str" cm="1">
        <f t="array" ref="Q16">_xlfn.XLOOKUP(1, (Gruppe2_Takstmapper[kode]=$D16)*(Gruppe2_Takstmapper[mappe_id]=$E16)*(Gruppe2_Takstmapper[gyldig_fra]=_xlfn.MAXIFS(Gruppe2_Takstmapper[gyldig_fra], Gruppe2_Takstmapper[kode], $D16, Gruppe2_Takstmapper[mappe_id], $E16, Gruppe2_Takstmapper[gyldig_fra], "&lt;=" &amp; $B16)), Gruppe2_Takstmapper[beloeb], "-")</f>
        <v>-</v>
      </c>
    </row>
    <row r="17" spans="6:17" x14ac:dyDescent="0.25">
      <c r="F17" s="9" t="str">
        <f t="shared" si="1"/>
        <v>-</v>
      </c>
      <c r="P17" t="str" cm="1">
        <f t="array" ref="P17">_xlfn.XLOOKUP(1, (Gruppe2_Takstmapper[kode]=$D17)*(Gruppe2_Takstmapper[mappe_id]=$E17)*(Gruppe2_Takstmapper[gyldig_fra]=_xlfn.MAXIFS(Gruppe2_Takstmapper[gyldig_fra], Gruppe2_Takstmapper[kode], $D17, Gruppe2_Takstmapper[mappe_id], $E17, Gruppe2_Takstmapper[gyldig_fra], "&lt;=" &amp; $B17)), Gruppe2_Takstmapper[ydelse], "-")</f>
        <v>-</v>
      </c>
      <c r="Q17" t="str" cm="1">
        <f t="array" ref="Q17">_xlfn.XLOOKUP(1, (Gruppe2_Takstmapper[kode]=$D17)*(Gruppe2_Takstmapper[mappe_id]=$E17)*(Gruppe2_Takstmapper[gyldig_fra]=_xlfn.MAXIFS(Gruppe2_Takstmapper[gyldig_fra], Gruppe2_Takstmapper[kode], $D17, Gruppe2_Takstmapper[mappe_id], $E17, Gruppe2_Takstmapper[gyldig_fra], "&lt;=" &amp; $B17)), Gruppe2_Takstmapper[beloeb], "-")</f>
        <v>-</v>
      </c>
    </row>
    <row r="18" spans="6:17" x14ac:dyDescent="0.25">
      <c r="F18" s="9" t="str">
        <f t="shared" si="1"/>
        <v>-</v>
      </c>
      <c r="P18" t="str" cm="1">
        <f t="array" ref="P18">_xlfn.XLOOKUP(1, (Gruppe2_Takstmapper[kode]=$D18)*(Gruppe2_Takstmapper[mappe_id]=$E18)*(Gruppe2_Takstmapper[gyldig_fra]=_xlfn.MAXIFS(Gruppe2_Takstmapper[gyldig_fra], Gruppe2_Takstmapper[kode], $D18, Gruppe2_Takstmapper[mappe_id], $E18, Gruppe2_Takstmapper[gyldig_fra], "&lt;=" &amp; $B18)), Gruppe2_Takstmapper[ydelse], "-")</f>
        <v>-</v>
      </c>
      <c r="Q18" t="str" cm="1">
        <f t="array" ref="Q18">_xlfn.XLOOKUP(1, (Gruppe2_Takstmapper[kode]=$D18)*(Gruppe2_Takstmapper[mappe_id]=$E18)*(Gruppe2_Takstmapper[gyldig_fra]=_xlfn.MAXIFS(Gruppe2_Takstmapper[gyldig_fra], Gruppe2_Takstmapper[kode], $D18, Gruppe2_Takstmapper[mappe_id], $E18, Gruppe2_Takstmapper[gyldig_fra], "&lt;=" &amp; $B18)), Gruppe2_Takstmapper[beloeb], "-")</f>
        <v>-</v>
      </c>
    </row>
    <row r="19" spans="6:17" x14ac:dyDescent="0.25">
      <c r="F19" s="9" t="str">
        <f t="shared" si="1"/>
        <v>-</v>
      </c>
      <c r="P19" t="str" cm="1">
        <f t="array" ref="P19">_xlfn.XLOOKUP(1, (Gruppe2_Takstmapper[kode]=$D19)*(Gruppe2_Takstmapper[mappe_id]=$E19)*(Gruppe2_Takstmapper[gyldig_fra]=_xlfn.MAXIFS(Gruppe2_Takstmapper[gyldig_fra], Gruppe2_Takstmapper[kode], $D19, Gruppe2_Takstmapper[mappe_id], $E19, Gruppe2_Takstmapper[gyldig_fra], "&lt;=" &amp; $B19)), Gruppe2_Takstmapper[ydelse], "-")</f>
        <v>-</v>
      </c>
      <c r="Q19" t="str" cm="1">
        <f t="array" ref="Q19">_xlfn.XLOOKUP(1, (Gruppe2_Takstmapper[kode]=$D19)*(Gruppe2_Takstmapper[mappe_id]=$E19)*(Gruppe2_Takstmapper[gyldig_fra]=_xlfn.MAXIFS(Gruppe2_Takstmapper[gyldig_fra], Gruppe2_Takstmapper[kode], $D19, Gruppe2_Takstmapper[mappe_id], $E19, Gruppe2_Takstmapper[gyldig_fra], "&lt;=" &amp; $B19)), Gruppe2_Takstmapper[beloeb], "-")</f>
        <v>-</v>
      </c>
    </row>
    <row r="20" spans="6:17" x14ac:dyDescent="0.25">
      <c r="F20" s="9" t="str">
        <f t="shared" si="1"/>
        <v>-</v>
      </c>
      <c r="P20" t="str" cm="1">
        <f t="array" ref="P20">_xlfn.XLOOKUP(1, (Gruppe2_Takstmapper[kode]=$D20)*(Gruppe2_Takstmapper[mappe_id]=$E20)*(Gruppe2_Takstmapper[gyldig_fra]=_xlfn.MAXIFS(Gruppe2_Takstmapper[gyldig_fra], Gruppe2_Takstmapper[kode], $D20, Gruppe2_Takstmapper[mappe_id], $E20, Gruppe2_Takstmapper[gyldig_fra], "&lt;=" &amp; $B20)), Gruppe2_Takstmapper[ydelse], "-")</f>
        <v>-</v>
      </c>
      <c r="Q20" t="str" cm="1">
        <f t="array" ref="Q20">_xlfn.XLOOKUP(1, (Gruppe2_Takstmapper[kode]=$D20)*(Gruppe2_Takstmapper[mappe_id]=$E20)*(Gruppe2_Takstmapper[gyldig_fra]=_xlfn.MAXIFS(Gruppe2_Takstmapper[gyldig_fra], Gruppe2_Takstmapper[kode], $D20, Gruppe2_Takstmapper[mappe_id], $E20, Gruppe2_Takstmapper[gyldig_fra], "&lt;=" &amp; $B20)), Gruppe2_Takstmapper[beloeb], "-")</f>
        <v>-</v>
      </c>
    </row>
    <row r="21" spans="6:17" x14ac:dyDescent="0.25">
      <c r="F21" s="9" t="str">
        <f t="shared" si="1"/>
        <v>-</v>
      </c>
      <c r="P21" t="str" cm="1">
        <f t="array" ref="P21">_xlfn.XLOOKUP(1, (Gruppe2_Takstmapper[kode]=$D21)*(Gruppe2_Takstmapper[mappe_id]=$E21)*(Gruppe2_Takstmapper[gyldig_fra]=_xlfn.MAXIFS(Gruppe2_Takstmapper[gyldig_fra], Gruppe2_Takstmapper[kode], $D21, Gruppe2_Takstmapper[mappe_id], $E21, Gruppe2_Takstmapper[gyldig_fra], "&lt;=" &amp; $B21)), Gruppe2_Takstmapper[ydelse], "-")</f>
        <v>-</v>
      </c>
      <c r="Q21" t="str" cm="1">
        <f t="array" ref="Q21">_xlfn.XLOOKUP(1, (Gruppe2_Takstmapper[kode]=$D21)*(Gruppe2_Takstmapper[mappe_id]=$E21)*(Gruppe2_Takstmapper[gyldig_fra]=_xlfn.MAXIFS(Gruppe2_Takstmapper[gyldig_fra], Gruppe2_Takstmapper[kode], $D21, Gruppe2_Takstmapper[mappe_id], $E21, Gruppe2_Takstmapper[gyldig_fra], "&lt;=" &amp; $B21)), Gruppe2_Takstmapper[beloeb], "-")</f>
        <v>-</v>
      </c>
    </row>
    <row r="22" spans="6:17" x14ac:dyDescent="0.25">
      <c r="F22" s="9" t="str">
        <f t="shared" si="1"/>
        <v>-</v>
      </c>
      <c r="P22" t="str" cm="1">
        <f t="array" ref="P22">_xlfn.XLOOKUP(1, (Gruppe2_Takstmapper[kode]=$D22)*(Gruppe2_Takstmapper[mappe_id]=$E22)*(Gruppe2_Takstmapper[gyldig_fra]=_xlfn.MAXIFS(Gruppe2_Takstmapper[gyldig_fra], Gruppe2_Takstmapper[kode], $D22, Gruppe2_Takstmapper[mappe_id], $E22, Gruppe2_Takstmapper[gyldig_fra], "&lt;=" &amp; $B22)), Gruppe2_Takstmapper[ydelse], "-")</f>
        <v>-</v>
      </c>
      <c r="Q22" t="str" cm="1">
        <f t="array" ref="Q22">_xlfn.XLOOKUP(1, (Gruppe2_Takstmapper[kode]=$D22)*(Gruppe2_Takstmapper[mappe_id]=$E22)*(Gruppe2_Takstmapper[gyldig_fra]=_xlfn.MAXIFS(Gruppe2_Takstmapper[gyldig_fra], Gruppe2_Takstmapper[kode], $D22, Gruppe2_Takstmapper[mappe_id], $E22, Gruppe2_Takstmapper[gyldig_fra], "&lt;=" &amp; $B22)), Gruppe2_Takstmapper[beloeb], "-")</f>
        <v>-</v>
      </c>
    </row>
    <row r="23" spans="6:17" x14ac:dyDescent="0.25">
      <c r="F23" s="9" t="str">
        <f t="shared" si="1"/>
        <v>-</v>
      </c>
      <c r="P23" t="str" cm="1">
        <f t="array" ref="P23">_xlfn.XLOOKUP(1, (Gruppe2_Takstmapper[kode]=$D23)*(Gruppe2_Takstmapper[mappe_id]=$E23)*(Gruppe2_Takstmapper[gyldig_fra]=_xlfn.MAXIFS(Gruppe2_Takstmapper[gyldig_fra], Gruppe2_Takstmapper[kode], $D23, Gruppe2_Takstmapper[mappe_id], $E23, Gruppe2_Takstmapper[gyldig_fra], "&lt;=" &amp; $B23)), Gruppe2_Takstmapper[ydelse], "-")</f>
        <v>-</v>
      </c>
      <c r="Q23" t="str" cm="1">
        <f t="array" ref="Q23">_xlfn.XLOOKUP(1, (Gruppe2_Takstmapper[kode]=$D23)*(Gruppe2_Takstmapper[mappe_id]=$E23)*(Gruppe2_Takstmapper[gyldig_fra]=_xlfn.MAXIFS(Gruppe2_Takstmapper[gyldig_fra], Gruppe2_Takstmapper[kode], $D23, Gruppe2_Takstmapper[mappe_id], $E23, Gruppe2_Takstmapper[gyldig_fra], "&lt;=" &amp; $B23)), Gruppe2_Takstmapper[beloeb], "-")</f>
        <v>-</v>
      </c>
    </row>
    <row r="24" spans="6:17" x14ac:dyDescent="0.25">
      <c r="F24" s="9" t="str">
        <f t="shared" si="1"/>
        <v>-</v>
      </c>
      <c r="P24" t="str" cm="1">
        <f t="array" ref="P24">_xlfn.XLOOKUP(1, (Gruppe2_Takstmapper[kode]=$D24)*(Gruppe2_Takstmapper[mappe_id]=$E24)*(Gruppe2_Takstmapper[gyldig_fra]=_xlfn.MAXIFS(Gruppe2_Takstmapper[gyldig_fra], Gruppe2_Takstmapper[kode], $D24, Gruppe2_Takstmapper[mappe_id], $E24, Gruppe2_Takstmapper[gyldig_fra], "&lt;=" &amp; $B24)), Gruppe2_Takstmapper[ydelse], "-")</f>
        <v>-</v>
      </c>
      <c r="Q24" t="str" cm="1">
        <f t="array" ref="Q24">_xlfn.XLOOKUP(1, (Gruppe2_Takstmapper[kode]=$D24)*(Gruppe2_Takstmapper[mappe_id]=$E24)*(Gruppe2_Takstmapper[gyldig_fra]=_xlfn.MAXIFS(Gruppe2_Takstmapper[gyldig_fra], Gruppe2_Takstmapper[kode], $D24, Gruppe2_Takstmapper[mappe_id], $E24, Gruppe2_Takstmapper[gyldig_fra], "&lt;=" &amp; $B24)), Gruppe2_Takstmapper[beloeb], "-")</f>
        <v>-</v>
      </c>
    </row>
    <row r="25" spans="6:17" x14ac:dyDescent="0.25">
      <c r="F25" s="9" t="str">
        <f t="shared" si="1"/>
        <v>-</v>
      </c>
      <c r="P25" t="str" cm="1">
        <f t="array" ref="P25">_xlfn.XLOOKUP(1, (Gruppe2_Takstmapper[kode]=$D25)*(Gruppe2_Takstmapper[mappe_id]=$E25)*(Gruppe2_Takstmapper[gyldig_fra]=_xlfn.MAXIFS(Gruppe2_Takstmapper[gyldig_fra], Gruppe2_Takstmapper[kode], $D25, Gruppe2_Takstmapper[mappe_id], $E25, Gruppe2_Takstmapper[gyldig_fra], "&lt;=" &amp; $B25)), Gruppe2_Takstmapper[ydelse], "-")</f>
        <v>-</v>
      </c>
      <c r="Q25" t="str" cm="1">
        <f t="array" ref="Q25">_xlfn.XLOOKUP(1, (Gruppe2_Takstmapper[kode]=$D25)*(Gruppe2_Takstmapper[mappe_id]=$E25)*(Gruppe2_Takstmapper[gyldig_fra]=_xlfn.MAXIFS(Gruppe2_Takstmapper[gyldig_fra], Gruppe2_Takstmapper[kode], $D25, Gruppe2_Takstmapper[mappe_id], $E25, Gruppe2_Takstmapper[gyldig_fra], "&lt;=" &amp; $B25)), Gruppe2_Takstmapper[beloeb], "-")</f>
        <v>-</v>
      </c>
    </row>
    <row r="26" spans="6:17" x14ac:dyDescent="0.25">
      <c r="F26" s="9" t="str">
        <f t="shared" si="1"/>
        <v>-</v>
      </c>
      <c r="P26" t="str" cm="1">
        <f t="array" ref="P26">_xlfn.XLOOKUP(1, (Gruppe2_Takstmapper[kode]=$D26)*(Gruppe2_Takstmapper[mappe_id]=$E26)*(Gruppe2_Takstmapper[gyldig_fra]=_xlfn.MAXIFS(Gruppe2_Takstmapper[gyldig_fra], Gruppe2_Takstmapper[kode], $D26, Gruppe2_Takstmapper[mappe_id], $E26, Gruppe2_Takstmapper[gyldig_fra], "&lt;=" &amp; $B26)), Gruppe2_Takstmapper[ydelse], "-")</f>
        <v>-</v>
      </c>
      <c r="Q26" t="str" cm="1">
        <f t="array" ref="Q26">_xlfn.XLOOKUP(1, (Gruppe2_Takstmapper[kode]=$D26)*(Gruppe2_Takstmapper[mappe_id]=$E26)*(Gruppe2_Takstmapper[gyldig_fra]=_xlfn.MAXIFS(Gruppe2_Takstmapper[gyldig_fra], Gruppe2_Takstmapper[kode], $D26, Gruppe2_Takstmapper[mappe_id], $E26, Gruppe2_Takstmapper[gyldig_fra], "&lt;=" &amp; $B26)), Gruppe2_Takstmapper[beloeb], "-")</f>
        <v>-</v>
      </c>
    </row>
    <row r="27" spans="6:17" x14ac:dyDescent="0.25">
      <c r="F27" s="9" t="str">
        <f t="shared" si="1"/>
        <v>-</v>
      </c>
      <c r="P27" t="str" cm="1">
        <f t="array" ref="P27">_xlfn.XLOOKUP(1, (Gruppe2_Takstmapper[kode]=$D27)*(Gruppe2_Takstmapper[mappe_id]=$E27)*(Gruppe2_Takstmapper[gyldig_fra]=_xlfn.MAXIFS(Gruppe2_Takstmapper[gyldig_fra], Gruppe2_Takstmapper[kode], $D27, Gruppe2_Takstmapper[mappe_id], $E27, Gruppe2_Takstmapper[gyldig_fra], "&lt;=" &amp; $B27)), Gruppe2_Takstmapper[ydelse], "-")</f>
        <v>-</v>
      </c>
      <c r="Q27" t="str" cm="1">
        <f t="array" ref="Q27">_xlfn.XLOOKUP(1, (Gruppe2_Takstmapper[kode]=$D27)*(Gruppe2_Takstmapper[mappe_id]=$E27)*(Gruppe2_Takstmapper[gyldig_fra]=_xlfn.MAXIFS(Gruppe2_Takstmapper[gyldig_fra], Gruppe2_Takstmapper[kode], $D27, Gruppe2_Takstmapper[mappe_id], $E27, Gruppe2_Takstmapper[gyldig_fra], "&lt;=" &amp; $B27)), Gruppe2_Takstmapper[beloeb], "-")</f>
        <v>-</v>
      </c>
    </row>
    <row r="28" spans="6:17" x14ac:dyDescent="0.25">
      <c r="F28" s="9" t="str">
        <f t="shared" si="1"/>
        <v>-</v>
      </c>
      <c r="P28" t="str" cm="1">
        <f t="array" ref="P28">_xlfn.XLOOKUP(1, (Gruppe2_Takstmapper[kode]=$D28)*(Gruppe2_Takstmapper[mappe_id]=$E28)*(Gruppe2_Takstmapper[gyldig_fra]=_xlfn.MAXIFS(Gruppe2_Takstmapper[gyldig_fra], Gruppe2_Takstmapper[kode], $D28, Gruppe2_Takstmapper[mappe_id], $E28, Gruppe2_Takstmapper[gyldig_fra], "&lt;=" &amp; $B28)), Gruppe2_Takstmapper[ydelse], "-")</f>
        <v>-</v>
      </c>
      <c r="Q28" t="str" cm="1">
        <f t="array" ref="Q28">_xlfn.XLOOKUP(1, (Gruppe2_Takstmapper[kode]=$D28)*(Gruppe2_Takstmapper[mappe_id]=$E28)*(Gruppe2_Takstmapper[gyldig_fra]=_xlfn.MAXIFS(Gruppe2_Takstmapper[gyldig_fra], Gruppe2_Takstmapper[kode], $D28, Gruppe2_Takstmapper[mappe_id], $E28, Gruppe2_Takstmapper[gyldig_fra], "&lt;=" &amp; $B28)), Gruppe2_Takstmapper[beloeb], "-")</f>
        <v>-</v>
      </c>
    </row>
    <row r="29" spans="6:17" x14ac:dyDescent="0.25">
      <c r="F29" s="9" t="str">
        <f t="shared" si="1"/>
        <v>-</v>
      </c>
      <c r="P29" t="str" cm="1">
        <f t="array" ref="P29">_xlfn.XLOOKUP(1, (Gruppe2_Takstmapper[kode]=$D29)*(Gruppe2_Takstmapper[mappe_id]=$E29)*(Gruppe2_Takstmapper[gyldig_fra]=_xlfn.MAXIFS(Gruppe2_Takstmapper[gyldig_fra], Gruppe2_Takstmapper[kode], $D29, Gruppe2_Takstmapper[mappe_id], $E29, Gruppe2_Takstmapper[gyldig_fra], "&lt;=" &amp; $B29)), Gruppe2_Takstmapper[ydelse], "-")</f>
        <v>-</v>
      </c>
      <c r="Q29" t="str" cm="1">
        <f t="array" ref="Q29">_xlfn.XLOOKUP(1, (Gruppe2_Takstmapper[kode]=$D29)*(Gruppe2_Takstmapper[mappe_id]=$E29)*(Gruppe2_Takstmapper[gyldig_fra]=_xlfn.MAXIFS(Gruppe2_Takstmapper[gyldig_fra], Gruppe2_Takstmapper[kode], $D29, Gruppe2_Takstmapper[mappe_id], $E29, Gruppe2_Takstmapper[gyldig_fra], "&lt;=" &amp; $B29)), Gruppe2_Takstmapper[beloeb], "-")</f>
        <v>-</v>
      </c>
    </row>
    <row r="30" spans="6:17" x14ac:dyDescent="0.25">
      <c r="F30" s="9" t="str">
        <f t="shared" si="1"/>
        <v>-</v>
      </c>
      <c r="P30" t="str" cm="1">
        <f t="array" ref="P30">_xlfn.XLOOKUP(1, (Gruppe2_Takstmapper[kode]=$D30)*(Gruppe2_Takstmapper[mappe_id]=$E30)*(Gruppe2_Takstmapper[gyldig_fra]=_xlfn.MAXIFS(Gruppe2_Takstmapper[gyldig_fra], Gruppe2_Takstmapper[kode], $D30, Gruppe2_Takstmapper[mappe_id], $E30, Gruppe2_Takstmapper[gyldig_fra], "&lt;=" &amp; $B30)), Gruppe2_Takstmapper[ydelse], "-")</f>
        <v>-</v>
      </c>
      <c r="Q30" t="str" cm="1">
        <f t="array" ref="Q30">_xlfn.XLOOKUP(1, (Gruppe2_Takstmapper[kode]=$D30)*(Gruppe2_Takstmapper[mappe_id]=$E30)*(Gruppe2_Takstmapper[gyldig_fra]=_xlfn.MAXIFS(Gruppe2_Takstmapper[gyldig_fra], Gruppe2_Takstmapper[kode], $D30, Gruppe2_Takstmapper[mappe_id], $E30, Gruppe2_Takstmapper[gyldig_fra], "&lt;=" &amp; $B30)), Gruppe2_Takstmapper[beloeb], "-")</f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132A-43FE-4801-9FFA-FFB3699EF903}">
  <dimension ref="A1:E23"/>
  <sheetViews>
    <sheetView tabSelected="1" workbookViewId="0">
      <selection activeCell="G36" sqref="G36"/>
    </sheetView>
  </sheetViews>
  <sheetFormatPr defaultRowHeight="15" x14ac:dyDescent="0.25"/>
  <cols>
    <col min="1" max="1" width="11.85546875" bestFit="1" customWidth="1"/>
    <col min="2" max="2" width="12" bestFit="1" customWidth="1"/>
    <col min="3" max="3" width="9" bestFit="1" customWidth="1"/>
    <col min="4" max="4" width="59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45931</v>
      </c>
      <c r="B2" s="7" t="s">
        <v>5</v>
      </c>
      <c r="C2" s="7" t="s">
        <v>530</v>
      </c>
      <c r="D2" s="7" t="s">
        <v>6</v>
      </c>
      <c r="E2">
        <v>1684.4</v>
      </c>
    </row>
    <row r="3" spans="1:5" x14ac:dyDescent="0.25">
      <c r="A3" s="1">
        <v>45931</v>
      </c>
      <c r="B3" s="7" t="s">
        <v>5</v>
      </c>
      <c r="C3" s="7" t="s">
        <v>90</v>
      </c>
      <c r="D3" s="7" t="s">
        <v>7</v>
      </c>
      <c r="E3">
        <v>1946.9</v>
      </c>
    </row>
    <row r="4" spans="1:5" x14ac:dyDescent="0.25">
      <c r="A4" s="1">
        <v>45931</v>
      </c>
      <c r="B4" s="7" t="s">
        <v>5</v>
      </c>
      <c r="C4" s="7" t="s">
        <v>92</v>
      </c>
      <c r="D4" s="7" t="s">
        <v>8</v>
      </c>
      <c r="E4">
        <v>449.28</v>
      </c>
    </row>
    <row r="5" spans="1:5" x14ac:dyDescent="0.25">
      <c r="A5" s="1">
        <v>45931</v>
      </c>
      <c r="B5" s="7" t="s">
        <v>5</v>
      </c>
      <c r="C5" s="7" t="s">
        <v>94</v>
      </c>
      <c r="D5" s="7" t="s">
        <v>9</v>
      </c>
      <c r="E5">
        <v>554.69000000000005</v>
      </c>
    </row>
    <row r="6" spans="1:5" x14ac:dyDescent="0.25">
      <c r="A6" s="1">
        <v>45931</v>
      </c>
      <c r="B6" s="7" t="s">
        <v>5</v>
      </c>
      <c r="C6" s="7" t="s">
        <v>96</v>
      </c>
      <c r="D6" s="7" t="s">
        <v>10</v>
      </c>
      <c r="E6">
        <v>4034.99</v>
      </c>
    </row>
    <row r="7" spans="1:5" x14ac:dyDescent="0.25">
      <c r="A7" s="1">
        <v>45931</v>
      </c>
      <c r="B7" s="7" t="s">
        <v>5</v>
      </c>
      <c r="C7" s="7" t="s">
        <v>98</v>
      </c>
      <c r="D7" s="7" t="s">
        <v>11</v>
      </c>
      <c r="E7">
        <v>1446.25</v>
      </c>
    </row>
    <row r="8" spans="1:5" x14ac:dyDescent="0.25">
      <c r="A8" s="1">
        <v>45931</v>
      </c>
      <c r="B8" s="7" t="s">
        <v>5</v>
      </c>
      <c r="C8" s="7" t="s">
        <v>100</v>
      </c>
      <c r="D8" s="7" t="s">
        <v>12</v>
      </c>
      <c r="E8">
        <v>1223.47</v>
      </c>
    </row>
    <row r="9" spans="1:5" x14ac:dyDescent="0.25">
      <c r="A9" s="1">
        <v>45931</v>
      </c>
      <c r="B9" s="7" t="s">
        <v>5</v>
      </c>
      <c r="C9" s="7" t="s">
        <v>102</v>
      </c>
      <c r="D9" s="7" t="s">
        <v>13</v>
      </c>
      <c r="E9">
        <v>2225.02</v>
      </c>
    </row>
    <row r="10" spans="1:5" x14ac:dyDescent="0.25">
      <c r="A10" s="1">
        <v>45931</v>
      </c>
      <c r="B10" s="7" t="s">
        <v>5</v>
      </c>
      <c r="C10" s="7" t="s">
        <v>531</v>
      </c>
      <c r="D10" s="7" t="s">
        <v>14</v>
      </c>
      <c r="E10">
        <v>968.64</v>
      </c>
    </row>
    <row r="11" spans="1:5" x14ac:dyDescent="0.25">
      <c r="A11" s="1">
        <v>45931</v>
      </c>
      <c r="B11" s="7" t="s">
        <v>5</v>
      </c>
      <c r="C11" s="7" t="s">
        <v>106</v>
      </c>
      <c r="D11" s="7" t="s">
        <v>15</v>
      </c>
      <c r="E11">
        <v>1251.57</v>
      </c>
    </row>
    <row r="12" spans="1:5" x14ac:dyDescent="0.25">
      <c r="A12" s="1">
        <v>45931</v>
      </c>
      <c r="B12" s="7" t="s">
        <v>5</v>
      </c>
      <c r="C12" s="7" t="s">
        <v>108</v>
      </c>
      <c r="D12" s="7" t="s">
        <v>16</v>
      </c>
      <c r="E12">
        <v>1668.76</v>
      </c>
    </row>
    <row r="13" spans="1:5" x14ac:dyDescent="0.25">
      <c r="A13" s="1">
        <v>45931</v>
      </c>
      <c r="B13" s="7" t="s">
        <v>5</v>
      </c>
      <c r="C13" s="7" t="s">
        <v>110</v>
      </c>
      <c r="D13" s="7" t="s">
        <v>17</v>
      </c>
      <c r="E13">
        <v>1891.26</v>
      </c>
    </row>
    <row r="14" spans="1:5" x14ac:dyDescent="0.25">
      <c r="A14" s="1">
        <v>45931</v>
      </c>
      <c r="B14" s="7" t="s">
        <v>5</v>
      </c>
      <c r="C14" s="7" t="s">
        <v>87</v>
      </c>
      <c r="D14" s="7" t="s">
        <v>18</v>
      </c>
      <c r="E14">
        <v>2085.94</v>
      </c>
    </row>
    <row r="15" spans="1:5" x14ac:dyDescent="0.25">
      <c r="A15" s="1">
        <v>45931</v>
      </c>
      <c r="B15" s="7" t="s">
        <v>5</v>
      </c>
      <c r="C15" s="7" t="s">
        <v>113</v>
      </c>
      <c r="D15" s="7" t="s">
        <v>19</v>
      </c>
      <c r="E15">
        <v>1390.64</v>
      </c>
    </row>
    <row r="16" spans="1:5" x14ac:dyDescent="0.25">
      <c r="A16" s="1">
        <v>45931</v>
      </c>
      <c r="B16" s="7" t="s">
        <v>5</v>
      </c>
      <c r="C16" s="7" t="s">
        <v>115</v>
      </c>
      <c r="D16" s="7" t="s">
        <v>20</v>
      </c>
      <c r="E16">
        <v>1042.97</v>
      </c>
    </row>
    <row r="17" spans="1:5" x14ac:dyDescent="0.25">
      <c r="A17" s="1">
        <v>45931</v>
      </c>
      <c r="B17" s="7" t="s">
        <v>5</v>
      </c>
      <c r="C17" s="7" t="s">
        <v>117</v>
      </c>
      <c r="D17" s="7" t="s">
        <v>21</v>
      </c>
      <c r="E17">
        <v>834.38</v>
      </c>
    </row>
    <row r="18" spans="1:5" x14ac:dyDescent="0.25">
      <c r="A18" s="1">
        <v>45931</v>
      </c>
      <c r="B18" s="7" t="s">
        <v>5</v>
      </c>
      <c r="C18" s="7" t="s">
        <v>119</v>
      </c>
      <c r="D18" s="7" t="s">
        <v>22</v>
      </c>
      <c r="E18">
        <v>695.31</v>
      </c>
    </row>
    <row r="19" spans="1:5" x14ac:dyDescent="0.25">
      <c r="A19" s="1">
        <v>45931</v>
      </c>
      <c r="B19" s="7" t="s">
        <v>5</v>
      </c>
      <c r="C19" s="7" t="s">
        <v>121</v>
      </c>
      <c r="D19" s="7" t="s">
        <v>23</v>
      </c>
      <c r="E19">
        <v>1119.5899999999999</v>
      </c>
    </row>
    <row r="20" spans="1:5" x14ac:dyDescent="0.25">
      <c r="A20" s="1">
        <v>45931</v>
      </c>
      <c r="B20" s="7" t="s">
        <v>5</v>
      </c>
      <c r="C20" s="7" t="s">
        <v>123</v>
      </c>
      <c r="D20" s="7" t="s">
        <v>24</v>
      </c>
      <c r="E20">
        <v>1794.14</v>
      </c>
    </row>
    <row r="21" spans="1:5" x14ac:dyDescent="0.25">
      <c r="A21" s="1">
        <v>45931</v>
      </c>
      <c r="B21" s="7" t="s">
        <v>5</v>
      </c>
      <c r="C21" s="7" t="s">
        <v>125</v>
      </c>
      <c r="D21" s="7" t="s">
        <v>25</v>
      </c>
      <c r="E21">
        <v>1196.08</v>
      </c>
    </row>
    <row r="22" spans="1:5" x14ac:dyDescent="0.25">
      <c r="A22" s="1">
        <v>45931</v>
      </c>
      <c r="B22" s="7" t="s">
        <v>5</v>
      </c>
      <c r="C22" s="7" t="s">
        <v>127</v>
      </c>
      <c r="D22" s="7" t="s">
        <v>26</v>
      </c>
      <c r="E22">
        <v>897.06</v>
      </c>
    </row>
    <row r="23" spans="1:5" x14ac:dyDescent="0.25">
      <c r="A23" s="1">
        <v>45931</v>
      </c>
      <c r="B23" s="7" t="s">
        <v>5</v>
      </c>
      <c r="C23" s="7" t="s">
        <v>129</v>
      </c>
      <c r="D23" s="7" t="s">
        <v>27</v>
      </c>
      <c r="E23">
        <v>717.65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BD7C-814E-440B-B403-342B691D0026}">
  <sheetPr>
    <tabColor rgb="FFFFC000"/>
  </sheetPr>
  <dimension ref="A1:K520"/>
  <sheetViews>
    <sheetView workbookViewId="0">
      <selection activeCell="J21" sqref="J21"/>
    </sheetView>
  </sheetViews>
  <sheetFormatPr defaultRowHeight="15" x14ac:dyDescent="0.25"/>
  <cols>
    <col min="1" max="1" width="11.85546875" bestFit="1" customWidth="1"/>
    <col min="2" max="2" width="12" style="2" bestFit="1" customWidth="1"/>
    <col min="3" max="3" width="7.7109375" style="2" bestFit="1" customWidth="1"/>
    <col min="4" max="4" width="66.28515625" bestFit="1" customWidth="1"/>
    <col min="5" max="5" width="9.5703125" bestFit="1" customWidth="1"/>
  </cols>
  <sheetData>
    <row r="1" spans="1:11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11" x14ac:dyDescent="0.25">
      <c r="A2" s="1">
        <v>45931</v>
      </c>
      <c r="B2" s="2" t="s">
        <v>5</v>
      </c>
      <c r="C2" s="2" t="s">
        <v>88</v>
      </c>
      <c r="D2" s="7" t="s">
        <v>6</v>
      </c>
      <c r="E2" s="7" t="s">
        <v>220</v>
      </c>
    </row>
    <row r="3" spans="1:11" x14ac:dyDescent="0.25">
      <c r="A3" s="1">
        <v>45931</v>
      </c>
      <c r="B3" s="2" t="s">
        <v>5</v>
      </c>
      <c r="C3" s="2" t="s">
        <v>90</v>
      </c>
      <c r="D3" s="7" t="s">
        <v>7</v>
      </c>
      <c r="E3" s="7" t="s">
        <v>221</v>
      </c>
    </row>
    <row r="4" spans="1:11" x14ac:dyDescent="0.25">
      <c r="A4" s="1">
        <v>45931</v>
      </c>
      <c r="B4" s="2" t="s">
        <v>5</v>
      </c>
      <c r="C4" s="2" t="s">
        <v>92</v>
      </c>
      <c r="D4" s="7" t="s">
        <v>8</v>
      </c>
      <c r="E4" s="7" t="s">
        <v>222</v>
      </c>
    </row>
    <row r="5" spans="1:11" x14ac:dyDescent="0.25">
      <c r="A5" s="1">
        <v>45931</v>
      </c>
      <c r="B5" s="2" t="s">
        <v>5</v>
      </c>
      <c r="C5" s="2" t="s">
        <v>94</v>
      </c>
      <c r="D5" s="7" t="s">
        <v>9</v>
      </c>
      <c r="E5" s="7" t="s">
        <v>223</v>
      </c>
    </row>
    <row r="6" spans="1:11" x14ac:dyDescent="0.25">
      <c r="A6" s="1">
        <v>45931</v>
      </c>
      <c r="B6" s="2" t="s">
        <v>5</v>
      </c>
      <c r="C6" s="2" t="s">
        <v>96</v>
      </c>
      <c r="D6" s="7" t="s">
        <v>10</v>
      </c>
      <c r="E6" s="7" t="s">
        <v>224</v>
      </c>
    </row>
    <row r="7" spans="1:11" x14ac:dyDescent="0.25">
      <c r="A7" s="1">
        <v>45931</v>
      </c>
      <c r="B7" s="2" t="s">
        <v>5</v>
      </c>
      <c r="C7" s="2" t="s">
        <v>98</v>
      </c>
      <c r="D7" s="7" t="s">
        <v>11</v>
      </c>
      <c r="E7" s="7" t="s">
        <v>225</v>
      </c>
    </row>
    <row r="8" spans="1:11" x14ac:dyDescent="0.25">
      <c r="A8" s="1">
        <v>45931</v>
      </c>
      <c r="B8" s="2" t="s">
        <v>5</v>
      </c>
      <c r="C8" s="2" t="s">
        <v>100</v>
      </c>
      <c r="D8" s="7" t="s">
        <v>12</v>
      </c>
      <c r="E8" s="7" t="s">
        <v>226</v>
      </c>
    </row>
    <row r="9" spans="1:11" x14ac:dyDescent="0.25">
      <c r="A9" s="1">
        <v>45931</v>
      </c>
      <c r="B9" s="2" t="s">
        <v>5</v>
      </c>
      <c r="C9" s="2" t="s">
        <v>102</v>
      </c>
      <c r="D9" s="7" t="s">
        <v>13</v>
      </c>
      <c r="E9" s="7" t="s">
        <v>227</v>
      </c>
    </row>
    <row r="10" spans="1:11" x14ac:dyDescent="0.25">
      <c r="A10" s="1">
        <v>45931</v>
      </c>
      <c r="B10" s="2" t="s">
        <v>5</v>
      </c>
      <c r="C10" s="2" t="s">
        <v>104</v>
      </c>
      <c r="D10" s="7" t="s">
        <v>14</v>
      </c>
      <c r="E10" s="7" t="s">
        <v>228</v>
      </c>
      <c r="J10" s="2"/>
      <c r="K10" s="2"/>
    </row>
    <row r="11" spans="1:11" x14ac:dyDescent="0.25">
      <c r="A11" s="1">
        <v>45931</v>
      </c>
      <c r="B11" s="2" t="s">
        <v>5</v>
      </c>
      <c r="C11" s="2" t="s">
        <v>106</v>
      </c>
      <c r="D11" s="7" t="s">
        <v>15</v>
      </c>
      <c r="E11" s="7" t="s">
        <v>229</v>
      </c>
    </row>
    <row r="12" spans="1:11" x14ac:dyDescent="0.25">
      <c r="A12" s="1">
        <v>45931</v>
      </c>
      <c r="B12" s="2" t="s">
        <v>5</v>
      </c>
      <c r="C12" s="2" t="s">
        <v>108</v>
      </c>
      <c r="D12" s="7" t="s">
        <v>16</v>
      </c>
      <c r="E12" s="7" t="s">
        <v>230</v>
      </c>
    </row>
    <row r="13" spans="1:11" x14ac:dyDescent="0.25">
      <c r="A13" s="1">
        <v>45931</v>
      </c>
      <c r="B13" s="2" t="s">
        <v>5</v>
      </c>
      <c r="C13" s="2" t="s">
        <v>110</v>
      </c>
      <c r="D13" s="7" t="s">
        <v>17</v>
      </c>
      <c r="E13" s="7" t="s">
        <v>231</v>
      </c>
    </row>
    <row r="14" spans="1:11" x14ac:dyDescent="0.25">
      <c r="A14" s="1">
        <v>45931</v>
      </c>
      <c r="B14" s="2" t="s">
        <v>5</v>
      </c>
      <c r="C14" s="2" t="s">
        <v>87</v>
      </c>
      <c r="D14" s="7" t="s">
        <v>18</v>
      </c>
      <c r="E14" s="7" t="s">
        <v>232</v>
      </c>
    </row>
    <row r="15" spans="1:11" x14ac:dyDescent="0.25">
      <c r="A15" s="1">
        <v>45931</v>
      </c>
      <c r="B15" s="2" t="s">
        <v>5</v>
      </c>
      <c r="C15" s="2" t="s">
        <v>113</v>
      </c>
      <c r="D15" s="7" t="s">
        <v>19</v>
      </c>
      <c r="E15" s="7" t="s">
        <v>233</v>
      </c>
    </row>
    <row r="16" spans="1:11" x14ac:dyDescent="0.25">
      <c r="A16" s="1">
        <v>45931</v>
      </c>
      <c r="B16" s="2" t="s">
        <v>5</v>
      </c>
      <c r="C16" s="2" t="s">
        <v>115</v>
      </c>
      <c r="D16" s="7" t="s">
        <v>20</v>
      </c>
      <c r="E16" s="7" t="s">
        <v>234</v>
      </c>
    </row>
    <row r="17" spans="1:5" x14ac:dyDescent="0.25">
      <c r="A17" s="1">
        <v>45931</v>
      </c>
      <c r="B17" s="2" t="s">
        <v>5</v>
      </c>
      <c r="C17" s="2" t="s">
        <v>117</v>
      </c>
      <c r="D17" s="7" t="s">
        <v>21</v>
      </c>
      <c r="E17" s="7" t="s">
        <v>235</v>
      </c>
    </row>
    <row r="18" spans="1:5" x14ac:dyDescent="0.25">
      <c r="A18" s="1">
        <v>45931</v>
      </c>
      <c r="B18" s="2" t="s">
        <v>5</v>
      </c>
      <c r="C18" s="2" t="s">
        <v>119</v>
      </c>
      <c r="D18" s="7" t="s">
        <v>22</v>
      </c>
      <c r="E18" s="7" t="s">
        <v>236</v>
      </c>
    </row>
    <row r="19" spans="1:5" x14ac:dyDescent="0.25">
      <c r="A19" s="1">
        <v>45931</v>
      </c>
      <c r="B19" s="2" t="s">
        <v>5</v>
      </c>
      <c r="C19" s="2" t="s">
        <v>121</v>
      </c>
      <c r="D19" s="7" t="s">
        <v>23</v>
      </c>
      <c r="E19" s="7" t="s">
        <v>237</v>
      </c>
    </row>
    <row r="20" spans="1:5" x14ac:dyDescent="0.25">
      <c r="A20" s="1">
        <v>45931</v>
      </c>
      <c r="B20" s="2" t="s">
        <v>5</v>
      </c>
      <c r="C20" s="2" t="s">
        <v>123</v>
      </c>
      <c r="D20" s="7" t="s">
        <v>24</v>
      </c>
      <c r="E20" s="7" t="s">
        <v>238</v>
      </c>
    </row>
    <row r="21" spans="1:5" x14ac:dyDescent="0.25">
      <c r="A21" s="1">
        <v>45931</v>
      </c>
      <c r="B21" s="2" t="s">
        <v>5</v>
      </c>
      <c r="C21" s="2" t="s">
        <v>125</v>
      </c>
      <c r="D21" s="7" t="s">
        <v>25</v>
      </c>
      <c r="E21" s="7" t="s">
        <v>239</v>
      </c>
    </row>
    <row r="22" spans="1:5" x14ac:dyDescent="0.25">
      <c r="A22" s="1">
        <v>45931</v>
      </c>
      <c r="B22" s="2" t="s">
        <v>5</v>
      </c>
      <c r="C22" s="2" t="s">
        <v>127</v>
      </c>
      <c r="D22" s="7" t="s">
        <v>26</v>
      </c>
      <c r="E22" s="7" t="s">
        <v>240</v>
      </c>
    </row>
    <row r="23" spans="1:5" x14ac:dyDescent="0.25">
      <c r="A23" s="1">
        <v>45931</v>
      </c>
      <c r="B23" s="2" t="s">
        <v>5</v>
      </c>
      <c r="C23" s="2" t="s">
        <v>129</v>
      </c>
      <c r="D23" s="7" t="s">
        <v>27</v>
      </c>
      <c r="E23" s="7" t="s">
        <v>241</v>
      </c>
    </row>
    <row r="24" spans="1:5" x14ac:dyDescent="0.25">
      <c r="A24" s="1">
        <v>45931</v>
      </c>
      <c r="B24" s="2" t="s">
        <v>5</v>
      </c>
      <c r="C24" s="2" t="s">
        <v>131</v>
      </c>
      <c r="D24" s="7" t="s">
        <v>28</v>
      </c>
      <c r="E24" s="7" t="s">
        <v>242</v>
      </c>
    </row>
    <row r="25" spans="1:5" x14ac:dyDescent="0.25">
      <c r="A25" s="1">
        <v>45931</v>
      </c>
      <c r="B25" s="2" t="s">
        <v>5</v>
      </c>
      <c r="C25" s="2" t="s">
        <v>133</v>
      </c>
      <c r="D25" s="7" t="s">
        <v>29</v>
      </c>
      <c r="E25" s="7" t="s">
        <v>238</v>
      </c>
    </row>
    <row r="26" spans="1:5" x14ac:dyDescent="0.25">
      <c r="A26" s="1">
        <v>45931</v>
      </c>
      <c r="B26" s="2" t="s">
        <v>5</v>
      </c>
      <c r="C26" s="2" t="s">
        <v>134</v>
      </c>
      <c r="D26" s="7" t="s">
        <v>30</v>
      </c>
      <c r="E26" s="7" t="s">
        <v>239</v>
      </c>
    </row>
    <row r="27" spans="1:5" x14ac:dyDescent="0.25">
      <c r="A27" s="1">
        <v>45931</v>
      </c>
      <c r="B27" s="2" t="s">
        <v>5</v>
      </c>
      <c r="C27" s="2" t="s">
        <v>135</v>
      </c>
      <c r="D27" s="7" t="s">
        <v>31</v>
      </c>
      <c r="E27" s="7" t="s">
        <v>240</v>
      </c>
    </row>
    <row r="28" spans="1:5" x14ac:dyDescent="0.25">
      <c r="A28" s="1">
        <v>45931</v>
      </c>
      <c r="B28" s="2" t="s">
        <v>5</v>
      </c>
      <c r="C28" s="2" t="s">
        <v>136</v>
      </c>
      <c r="D28" s="7" t="s">
        <v>32</v>
      </c>
      <c r="E28" s="7" t="s">
        <v>241</v>
      </c>
    </row>
    <row r="29" spans="1:5" x14ac:dyDescent="0.25">
      <c r="A29" s="1">
        <v>45931</v>
      </c>
      <c r="B29" s="2" t="s">
        <v>5</v>
      </c>
      <c r="C29" s="2" t="s">
        <v>137</v>
      </c>
      <c r="D29" s="7" t="s">
        <v>33</v>
      </c>
      <c r="E29" s="7" t="s">
        <v>242</v>
      </c>
    </row>
    <row r="30" spans="1:5" x14ac:dyDescent="0.25">
      <c r="A30" s="1">
        <v>45931</v>
      </c>
      <c r="B30" s="2" t="s">
        <v>5</v>
      </c>
      <c r="C30" s="2" t="s">
        <v>138</v>
      </c>
      <c r="D30" s="7" t="s">
        <v>34</v>
      </c>
      <c r="E30" s="7" t="s">
        <v>243</v>
      </c>
    </row>
    <row r="31" spans="1:5" x14ac:dyDescent="0.25">
      <c r="A31" s="1">
        <v>45931</v>
      </c>
      <c r="B31" s="2" t="s">
        <v>5</v>
      </c>
      <c r="C31" s="2" t="s">
        <v>140</v>
      </c>
      <c r="D31" s="7" t="s">
        <v>35</v>
      </c>
      <c r="E31" s="7" t="s">
        <v>244</v>
      </c>
    </row>
    <row r="32" spans="1:5" x14ac:dyDescent="0.25">
      <c r="A32" s="1">
        <v>45931</v>
      </c>
      <c r="B32" s="2" t="s">
        <v>5</v>
      </c>
      <c r="C32" s="2" t="s">
        <v>142</v>
      </c>
      <c r="D32" s="7" t="s">
        <v>36</v>
      </c>
      <c r="E32" s="7" t="s">
        <v>226</v>
      </c>
    </row>
    <row r="33" spans="1:5" x14ac:dyDescent="0.25">
      <c r="A33" s="1">
        <v>45931</v>
      </c>
      <c r="B33" s="2" t="s">
        <v>5</v>
      </c>
      <c r="C33" s="2" t="s">
        <v>143</v>
      </c>
      <c r="D33" s="7" t="s">
        <v>37</v>
      </c>
      <c r="E33" s="7" t="s">
        <v>227</v>
      </c>
    </row>
    <row r="34" spans="1:5" x14ac:dyDescent="0.25">
      <c r="A34" s="1">
        <v>45931</v>
      </c>
      <c r="B34" s="2" t="s">
        <v>5</v>
      </c>
      <c r="C34" s="2" t="s">
        <v>144</v>
      </c>
      <c r="D34" s="7" t="s">
        <v>38</v>
      </c>
      <c r="E34" s="7" t="s">
        <v>245</v>
      </c>
    </row>
    <row r="35" spans="1:5" x14ac:dyDescent="0.25">
      <c r="A35" s="1">
        <v>45931</v>
      </c>
      <c r="B35" s="2" t="s">
        <v>5</v>
      </c>
      <c r="C35" s="2" t="s">
        <v>146</v>
      </c>
      <c r="D35" s="7" t="s">
        <v>39</v>
      </c>
      <c r="E35" s="7" t="s">
        <v>243</v>
      </c>
    </row>
    <row r="36" spans="1:5" x14ac:dyDescent="0.25">
      <c r="A36" s="1">
        <v>45931</v>
      </c>
      <c r="B36" s="2" t="s">
        <v>5</v>
      </c>
      <c r="C36" s="2" t="s">
        <v>147</v>
      </c>
      <c r="D36" s="7" t="s">
        <v>40</v>
      </c>
      <c r="E36" s="7" t="s">
        <v>244</v>
      </c>
    </row>
    <row r="37" spans="1:5" x14ac:dyDescent="0.25">
      <c r="A37" s="1">
        <v>45931</v>
      </c>
      <c r="B37" s="2" t="s">
        <v>5</v>
      </c>
      <c r="C37" s="2" t="s">
        <v>148</v>
      </c>
      <c r="D37" s="7" t="s">
        <v>41</v>
      </c>
      <c r="E37" s="7" t="s">
        <v>246</v>
      </c>
    </row>
    <row r="38" spans="1:5" x14ac:dyDescent="0.25">
      <c r="A38" s="1">
        <v>45931</v>
      </c>
      <c r="B38" s="2" t="s">
        <v>5</v>
      </c>
      <c r="C38" s="2" t="s">
        <v>150</v>
      </c>
      <c r="D38" s="7" t="s">
        <v>42</v>
      </c>
      <c r="E38" s="7" t="s">
        <v>247</v>
      </c>
    </row>
    <row r="39" spans="1:5" x14ac:dyDescent="0.25">
      <c r="A39" s="1">
        <v>45931</v>
      </c>
      <c r="B39" s="2" t="s">
        <v>5</v>
      </c>
      <c r="C39" s="2" t="s">
        <v>152</v>
      </c>
      <c r="D39" s="7" t="s">
        <v>43</v>
      </c>
      <c r="E39" s="7" t="s">
        <v>248</v>
      </c>
    </row>
    <row r="40" spans="1:5" x14ac:dyDescent="0.25">
      <c r="A40" s="1">
        <v>45931</v>
      </c>
      <c r="B40" s="2" t="s">
        <v>5</v>
      </c>
      <c r="C40" s="2" t="s">
        <v>154</v>
      </c>
      <c r="D40" s="7" t="s">
        <v>44</v>
      </c>
      <c r="E40" s="7" t="s">
        <v>249</v>
      </c>
    </row>
    <row r="41" spans="1:5" x14ac:dyDescent="0.25">
      <c r="A41" s="1">
        <v>45931</v>
      </c>
      <c r="B41" s="2" t="s">
        <v>5</v>
      </c>
      <c r="C41" s="2" t="s">
        <v>156</v>
      </c>
      <c r="D41" s="7" t="s">
        <v>45</v>
      </c>
      <c r="E41" s="7" t="s">
        <v>250</v>
      </c>
    </row>
    <row r="42" spans="1:5" x14ac:dyDescent="0.25">
      <c r="A42" s="1">
        <v>45931</v>
      </c>
      <c r="B42" s="2" t="s">
        <v>5</v>
      </c>
      <c r="C42" s="2" t="s">
        <v>158</v>
      </c>
      <c r="D42" s="7" t="s">
        <v>46</v>
      </c>
      <c r="E42" s="7" t="s">
        <v>159</v>
      </c>
    </row>
    <row r="43" spans="1:5" x14ac:dyDescent="0.25">
      <c r="A43" s="1">
        <v>45931</v>
      </c>
      <c r="B43" s="2" t="s">
        <v>5</v>
      </c>
      <c r="C43" s="2" t="s">
        <v>160</v>
      </c>
      <c r="D43" s="7" t="s">
        <v>47</v>
      </c>
      <c r="E43" s="7" t="s">
        <v>161</v>
      </c>
    </row>
    <row r="44" spans="1:5" x14ac:dyDescent="0.25">
      <c r="A44" s="1">
        <v>45931</v>
      </c>
      <c r="B44" s="2" t="s">
        <v>5</v>
      </c>
      <c r="C44" s="2" t="s">
        <v>162</v>
      </c>
      <c r="D44" s="7" t="s">
        <v>48</v>
      </c>
      <c r="E44" s="7" t="s">
        <v>251</v>
      </c>
    </row>
    <row r="45" spans="1:5" x14ac:dyDescent="0.25">
      <c r="A45" s="1">
        <v>45931</v>
      </c>
      <c r="B45" s="2" t="s">
        <v>5</v>
      </c>
      <c r="C45" s="2" t="s">
        <v>164</v>
      </c>
      <c r="D45" s="7" t="s">
        <v>49</v>
      </c>
      <c r="E45" s="7" t="s">
        <v>252</v>
      </c>
    </row>
    <row r="46" spans="1:5" x14ac:dyDescent="0.25">
      <c r="A46" s="1">
        <v>45931</v>
      </c>
      <c r="B46" s="2" t="s">
        <v>50</v>
      </c>
      <c r="C46" s="2" t="s">
        <v>88</v>
      </c>
      <c r="D46" s="7" t="s">
        <v>6</v>
      </c>
      <c r="E46" s="7" t="s">
        <v>253</v>
      </c>
    </row>
    <row r="47" spans="1:5" x14ac:dyDescent="0.25">
      <c r="A47" s="1">
        <v>45931</v>
      </c>
      <c r="B47" s="2" t="s">
        <v>50</v>
      </c>
      <c r="C47" s="2" t="s">
        <v>90</v>
      </c>
      <c r="D47" s="7" t="s">
        <v>51</v>
      </c>
      <c r="E47" s="7" t="s">
        <v>254</v>
      </c>
    </row>
    <row r="48" spans="1:5" x14ac:dyDescent="0.25">
      <c r="A48" s="1">
        <v>45931</v>
      </c>
      <c r="B48" s="2" t="s">
        <v>50</v>
      </c>
      <c r="C48" s="2" t="s">
        <v>92</v>
      </c>
      <c r="D48" s="7" t="s">
        <v>52</v>
      </c>
      <c r="E48" s="7" t="s">
        <v>255</v>
      </c>
    </row>
    <row r="49" spans="1:5" x14ac:dyDescent="0.25">
      <c r="A49" s="1">
        <v>45931</v>
      </c>
      <c r="B49" s="2" t="s">
        <v>50</v>
      </c>
      <c r="C49" s="2" t="s">
        <v>96</v>
      </c>
      <c r="D49" s="7" t="s">
        <v>53</v>
      </c>
      <c r="E49" s="7" t="s">
        <v>253</v>
      </c>
    </row>
    <row r="50" spans="1:5" x14ac:dyDescent="0.25">
      <c r="A50" s="1">
        <v>45931</v>
      </c>
      <c r="B50" s="2" t="s">
        <v>50</v>
      </c>
      <c r="C50" s="2" t="s">
        <v>98</v>
      </c>
      <c r="D50" s="7" t="s">
        <v>54</v>
      </c>
      <c r="E50" s="7" t="s">
        <v>256</v>
      </c>
    </row>
    <row r="51" spans="1:5" x14ac:dyDescent="0.25">
      <c r="A51" s="1">
        <v>45931</v>
      </c>
      <c r="B51" s="2" t="s">
        <v>50</v>
      </c>
      <c r="C51" s="2" t="s">
        <v>100</v>
      </c>
      <c r="D51" s="7" t="s">
        <v>55</v>
      </c>
      <c r="E51" s="7" t="s">
        <v>257</v>
      </c>
    </row>
    <row r="52" spans="1:5" x14ac:dyDescent="0.25">
      <c r="A52" s="1">
        <v>45931</v>
      </c>
      <c r="B52" s="2" t="s">
        <v>50</v>
      </c>
      <c r="C52" s="2" t="s">
        <v>102</v>
      </c>
      <c r="D52" s="7" t="s">
        <v>56</v>
      </c>
      <c r="E52" s="7" t="s">
        <v>257</v>
      </c>
    </row>
    <row r="53" spans="1:5" x14ac:dyDescent="0.25">
      <c r="A53" s="1">
        <v>45931</v>
      </c>
      <c r="B53" s="2" t="s">
        <v>50</v>
      </c>
      <c r="C53" s="2" t="s">
        <v>106</v>
      </c>
      <c r="D53" s="7" t="s">
        <v>57</v>
      </c>
      <c r="E53" s="7" t="s">
        <v>257</v>
      </c>
    </row>
    <row r="54" spans="1:5" x14ac:dyDescent="0.25">
      <c r="A54" s="1">
        <v>45931</v>
      </c>
      <c r="B54" s="2" t="s">
        <v>50</v>
      </c>
      <c r="C54" s="2" t="s">
        <v>142</v>
      </c>
      <c r="D54" s="7" t="s">
        <v>58</v>
      </c>
      <c r="E54" s="7" t="s">
        <v>258</v>
      </c>
    </row>
    <row r="55" spans="1:5" x14ac:dyDescent="0.25">
      <c r="A55" s="1">
        <v>45931</v>
      </c>
      <c r="B55" s="2" t="s">
        <v>50</v>
      </c>
      <c r="C55" s="2" t="s">
        <v>172</v>
      </c>
      <c r="D55" s="7" t="s">
        <v>59</v>
      </c>
      <c r="E55" s="7" t="s">
        <v>259</v>
      </c>
    </row>
    <row r="56" spans="1:5" x14ac:dyDescent="0.25">
      <c r="A56" s="1">
        <v>45931</v>
      </c>
      <c r="B56" s="2" t="s">
        <v>50</v>
      </c>
      <c r="C56" s="2" t="s">
        <v>174</v>
      </c>
      <c r="D56" s="7" t="s">
        <v>60</v>
      </c>
      <c r="E56" s="7" t="s">
        <v>260</v>
      </c>
    </row>
    <row r="57" spans="1:5" x14ac:dyDescent="0.25">
      <c r="A57" s="1">
        <v>45931</v>
      </c>
      <c r="B57" s="2" t="s">
        <v>50</v>
      </c>
      <c r="C57" s="2" t="s">
        <v>176</v>
      </c>
      <c r="D57" s="7" t="s">
        <v>61</v>
      </c>
      <c r="E57" s="7" t="s">
        <v>261</v>
      </c>
    </row>
    <row r="58" spans="1:5" x14ac:dyDescent="0.25">
      <c r="A58" s="1">
        <v>45931</v>
      </c>
      <c r="B58" s="2" t="s">
        <v>50</v>
      </c>
      <c r="C58" s="2" t="s">
        <v>178</v>
      </c>
      <c r="D58" s="7" t="s">
        <v>62</v>
      </c>
      <c r="E58" s="7" t="s">
        <v>262</v>
      </c>
    </row>
    <row r="59" spans="1:5" x14ac:dyDescent="0.25">
      <c r="A59" s="1">
        <v>45931</v>
      </c>
      <c r="B59" s="2" t="s">
        <v>50</v>
      </c>
      <c r="C59" s="2" t="s">
        <v>180</v>
      </c>
      <c r="D59" s="7" t="s">
        <v>63</v>
      </c>
      <c r="E59" s="7" t="s">
        <v>263</v>
      </c>
    </row>
    <row r="60" spans="1:5" x14ac:dyDescent="0.25">
      <c r="A60" s="1">
        <v>45931</v>
      </c>
      <c r="B60" s="2" t="s">
        <v>50</v>
      </c>
      <c r="C60" s="2" t="s">
        <v>182</v>
      </c>
      <c r="D60" s="7" t="s">
        <v>64</v>
      </c>
      <c r="E60" s="7" t="s">
        <v>264</v>
      </c>
    </row>
    <row r="61" spans="1:5" x14ac:dyDescent="0.25">
      <c r="A61" s="1">
        <v>45931</v>
      </c>
      <c r="B61" s="2" t="s">
        <v>50</v>
      </c>
      <c r="C61" s="2" t="s">
        <v>184</v>
      </c>
      <c r="D61" s="7" t="s">
        <v>65</v>
      </c>
      <c r="E61" s="7" t="s">
        <v>265</v>
      </c>
    </row>
    <row r="62" spans="1:5" x14ac:dyDescent="0.25">
      <c r="A62" s="1">
        <v>45931</v>
      </c>
      <c r="B62" s="2" t="s">
        <v>50</v>
      </c>
      <c r="C62" s="2" t="s">
        <v>186</v>
      </c>
      <c r="D62" s="7" t="s">
        <v>66</v>
      </c>
      <c r="E62" s="7" t="s">
        <v>266</v>
      </c>
    </row>
    <row r="63" spans="1:5" x14ac:dyDescent="0.25">
      <c r="A63" s="1">
        <v>45931</v>
      </c>
      <c r="B63" s="2" t="s">
        <v>50</v>
      </c>
      <c r="C63" s="2" t="s">
        <v>188</v>
      </c>
      <c r="D63" s="7" t="s">
        <v>67</v>
      </c>
      <c r="E63" s="7" t="s">
        <v>267</v>
      </c>
    </row>
    <row r="64" spans="1:5" x14ac:dyDescent="0.25">
      <c r="A64" s="1">
        <v>45931</v>
      </c>
      <c r="B64" s="2" t="s">
        <v>50</v>
      </c>
      <c r="C64" s="2" t="s">
        <v>190</v>
      </c>
      <c r="D64" s="7" t="s">
        <v>68</v>
      </c>
      <c r="E64" s="7" t="s">
        <v>268</v>
      </c>
    </row>
    <row r="65" spans="1:5" x14ac:dyDescent="0.25">
      <c r="A65" s="1">
        <v>45931</v>
      </c>
      <c r="B65" s="2" t="s">
        <v>50</v>
      </c>
      <c r="C65" s="2" t="s">
        <v>192</v>
      </c>
      <c r="D65" s="7" t="s">
        <v>69</v>
      </c>
      <c r="E65" s="7" t="s">
        <v>269</v>
      </c>
    </row>
    <row r="66" spans="1:5" x14ac:dyDescent="0.25">
      <c r="A66" s="1">
        <v>45931</v>
      </c>
      <c r="B66" s="2" t="s">
        <v>50</v>
      </c>
      <c r="C66" s="2" t="s">
        <v>194</v>
      </c>
      <c r="D66" s="7" t="s">
        <v>70</v>
      </c>
      <c r="E66" s="7" t="s">
        <v>270</v>
      </c>
    </row>
    <row r="67" spans="1:5" x14ac:dyDescent="0.25">
      <c r="A67" s="1">
        <v>45931</v>
      </c>
      <c r="B67" s="2" t="s">
        <v>50</v>
      </c>
      <c r="C67" s="2" t="s">
        <v>196</v>
      </c>
      <c r="D67" s="7" t="s">
        <v>71</v>
      </c>
      <c r="E67" s="7" t="s">
        <v>271</v>
      </c>
    </row>
    <row r="68" spans="1:5" x14ac:dyDescent="0.25">
      <c r="A68" s="1">
        <v>45931</v>
      </c>
      <c r="B68" s="2" t="s">
        <v>50</v>
      </c>
      <c r="C68" s="2" t="s">
        <v>198</v>
      </c>
      <c r="D68" s="7" t="s">
        <v>72</v>
      </c>
      <c r="E68" s="7" t="s">
        <v>272</v>
      </c>
    </row>
    <row r="69" spans="1:5" x14ac:dyDescent="0.25">
      <c r="A69" s="1">
        <v>45931</v>
      </c>
      <c r="B69" s="2" t="s">
        <v>50</v>
      </c>
      <c r="C69" s="2" t="s">
        <v>200</v>
      </c>
      <c r="D69" s="7" t="s">
        <v>73</v>
      </c>
      <c r="E69" s="7" t="s">
        <v>273</v>
      </c>
    </row>
    <row r="70" spans="1:5" x14ac:dyDescent="0.25">
      <c r="A70" s="1">
        <v>45931</v>
      </c>
      <c r="B70" s="2" t="s">
        <v>50</v>
      </c>
      <c r="C70" s="2" t="s">
        <v>202</v>
      </c>
      <c r="D70" s="7" t="s">
        <v>74</v>
      </c>
      <c r="E70" s="7" t="s">
        <v>274</v>
      </c>
    </row>
    <row r="71" spans="1:5" x14ac:dyDescent="0.25">
      <c r="A71" s="1">
        <v>45931</v>
      </c>
      <c r="B71" s="2" t="s">
        <v>50</v>
      </c>
      <c r="C71" s="2" t="s">
        <v>204</v>
      </c>
      <c r="D71" s="7" t="s">
        <v>75</v>
      </c>
      <c r="E71" s="7" t="s">
        <v>275</v>
      </c>
    </row>
    <row r="72" spans="1:5" x14ac:dyDescent="0.25">
      <c r="A72" s="1">
        <v>45931</v>
      </c>
      <c r="B72" s="2" t="s">
        <v>50</v>
      </c>
      <c r="C72" s="2" t="s">
        <v>206</v>
      </c>
      <c r="D72" s="7" t="s">
        <v>76</v>
      </c>
      <c r="E72" s="7" t="s">
        <v>276</v>
      </c>
    </row>
    <row r="73" spans="1:5" x14ac:dyDescent="0.25">
      <c r="A73" s="1">
        <v>45931</v>
      </c>
      <c r="B73" s="2" t="s">
        <v>50</v>
      </c>
      <c r="C73" s="2" t="s">
        <v>138</v>
      </c>
      <c r="D73" s="7" t="s">
        <v>77</v>
      </c>
      <c r="E73" s="7" t="s">
        <v>277</v>
      </c>
    </row>
    <row r="74" spans="1:5" x14ac:dyDescent="0.25">
      <c r="A74" s="1">
        <v>45931</v>
      </c>
      <c r="B74" s="2" t="s">
        <v>50</v>
      </c>
      <c r="C74" s="2" t="s">
        <v>146</v>
      </c>
      <c r="D74" s="7" t="s">
        <v>78</v>
      </c>
      <c r="E74" s="7" t="s">
        <v>209</v>
      </c>
    </row>
    <row r="75" spans="1:5" x14ac:dyDescent="0.25">
      <c r="A75" s="1">
        <v>45931</v>
      </c>
      <c r="B75" s="2" t="s">
        <v>50</v>
      </c>
      <c r="C75" s="2" t="s">
        <v>143</v>
      </c>
      <c r="D75" s="7" t="s">
        <v>79</v>
      </c>
      <c r="E75" s="7" t="s">
        <v>278</v>
      </c>
    </row>
    <row r="76" spans="1:5" x14ac:dyDescent="0.25">
      <c r="A76" s="1">
        <v>45931</v>
      </c>
      <c r="B76" s="2" t="s">
        <v>50</v>
      </c>
      <c r="C76" s="2" t="s">
        <v>144</v>
      </c>
      <c r="D76" s="7" t="s">
        <v>80</v>
      </c>
      <c r="E76" s="7" t="s">
        <v>279</v>
      </c>
    </row>
    <row r="77" spans="1:5" x14ac:dyDescent="0.25">
      <c r="A77" s="1">
        <v>45931</v>
      </c>
      <c r="B77" s="2" t="s">
        <v>50</v>
      </c>
      <c r="C77" s="2" t="s">
        <v>140</v>
      </c>
      <c r="D77" s="7" t="s">
        <v>81</v>
      </c>
      <c r="E77" s="7" t="s">
        <v>280</v>
      </c>
    </row>
    <row r="78" spans="1:5" x14ac:dyDescent="0.25">
      <c r="A78" s="1">
        <v>45931</v>
      </c>
      <c r="B78" s="2" t="s">
        <v>50</v>
      </c>
      <c r="C78" s="2" t="s">
        <v>148</v>
      </c>
      <c r="D78" s="7" t="s">
        <v>82</v>
      </c>
      <c r="E78" s="7" t="s">
        <v>281</v>
      </c>
    </row>
    <row r="79" spans="1:5" x14ac:dyDescent="0.25">
      <c r="A79" s="1">
        <v>45931</v>
      </c>
      <c r="B79" s="2" t="s">
        <v>50</v>
      </c>
      <c r="C79" s="2" t="s">
        <v>150</v>
      </c>
      <c r="D79" s="7" t="s">
        <v>83</v>
      </c>
      <c r="E79" s="7" t="s">
        <v>282</v>
      </c>
    </row>
    <row r="80" spans="1:5" x14ac:dyDescent="0.25">
      <c r="A80" s="1">
        <v>45931</v>
      </c>
      <c r="B80" s="2" t="s">
        <v>50</v>
      </c>
      <c r="C80" s="2" t="s">
        <v>215</v>
      </c>
      <c r="D80" s="7" t="s">
        <v>84</v>
      </c>
      <c r="E80" s="7" t="s">
        <v>282</v>
      </c>
    </row>
    <row r="81" spans="1:5" x14ac:dyDescent="0.25">
      <c r="A81" s="1">
        <v>45931</v>
      </c>
      <c r="B81" s="2" t="s">
        <v>50</v>
      </c>
      <c r="C81" s="2" t="s">
        <v>162</v>
      </c>
      <c r="D81" s="7" t="s">
        <v>85</v>
      </c>
      <c r="E81" s="7" t="s">
        <v>283</v>
      </c>
    </row>
    <row r="82" spans="1:5" x14ac:dyDescent="0.25">
      <c r="A82" s="1">
        <v>45931</v>
      </c>
      <c r="B82" s="2" t="s">
        <v>50</v>
      </c>
      <c r="C82" s="2" t="s">
        <v>164</v>
      </c>
      <c r="D82" s="7" t="s">
        <v>49</v>
      </c>
      <c r="E82" s="7" t="s">
        <v>284</v>
      </c>
    </row>
    <row r="83" spans="1:5" x14ac:dyDescent="0.25">
      <c r="A83" s="1">
        <v>45931</v>
      </c>
      <c r="B83" s="2" t="s">
        <v>50</v>
      </c>
      <c r="C83" s="2" t="s">
        <v>218</v>
      </c>
      <c r="D83" s="7" t="s">
        <v>86</v>
      </c>
      <c r="E83" s="7" t="s">
        <v>285</v>
      </c>
    </row>
    <row r="84" spans="1:5" x14ac:dyDescent="0.25">
      <c r="A84" s="1">
        <v>45931</v>
      </c>
      <c r="B84" s="2" t="s">
        <v>50</v>
      </c>
      <c r="C84" s="2" t="s">
        <v>154</v>
      </c>
      <c r="D84" s="7" t="s">
        <v>44</v>
      </c>
      <c r="E84" s="7" t="s">
        <v>249</v>
      </c>
    </row>
    <row r="85" spans="1:5" x14ac:dyDescent="0.25">
      <c r="A85" s="1">
        <v>45931</v>
      </c>
      <c r="B85" s="2" t="s">
        <v>50</v>
      </c>
      <c r="C85" s="2" t="s">
        <v>156</v>
      </c>
      <c r="D85" s="7" t="s">
        <v>45</v>
      </c>
      <c r="E85" s="7" t="s">
        <v>250</v>
      </c>
    </row>
    <row r="86" spans="1:5" x14ac:dyDescent="0.25">
      <c r="A86" s="1">
        <v>45931</v>
      </c>
      <c r="B86" s="2" t="s">
        <v>50</v>
      </c>
      <c r="C86" s="2" t="s">
        <v>158</v>
      </c>
      <c r="D86" s="7" t="s">
        <v>46</v>
      </c>
      <c r="E86" s="7" t="s">
        <v>159</v>
      </c>
    </row>
    <row r="87" spans="1:5" x14ac:dyDescent="0.25">
      <c r="A87" s="1">
        <v>45931</v>
      </c>
      <c r="B87" s="2" t="s">
        <v>50</v>
      </c>
      <c r="C87" s="2" t="s">
        <v>160</v>
      </c>
      <c r="D87" s="7" t="s">
        <v>47</v>
      </c>
      <c r="E87" s="7" t="s">
        <v>161</v>
      </c>
    </row>
    <row r="88" spans="1:5" x14ac:dyDescent="0.25">
      <c r="A88" s="1">
        <v>45748</v>
      </c>
      <c r="B88" s="2" t="s">
        <v>5</v>
      </c>
      <c r="C88" s="2" t="s">
        <v>88</v>
      </c>
      <c r="D88" s="7" t="s">
        <v>6</v>
      </c>
      <c r="E88" s="7" t="s">
        <v>89</v>
      </c>
    </row>
    <row r="89" spans="1:5" x14ac:dyDescent="0.25">
      <c r="A89" s="1">
        <v>45748</v>
      </c>
      <c r="B89" s="2" t="s">
        <v>5</v>
      </c>
      <c r="C89" s="2" t="s">
        <v>90</v>
      </c>
      <c r="D89" s="7" t="s">
        <v>7</v>
      </c>
      <c r="E89" s="7" t="s">
        <v>91</v>
      </c>
    </row>
    <row r="90" spans="1:5" x14ac:dyDescent="0.25">
      <c r="A90" s="1">
        <v>45748</v>
      </c>
      <c r="B90" s="2" t="s">
        <v>5</v>
      </c>
      <c r="C90" s="2" t="s">
        <v>92</v>
      </c>
      <c r="D90" s="7" t="s">
        <v>8</v>
      </c>
      <c r="E90" s="7" t="s">
        <v>93</v>
      </c>
    </row>
    <row r="91" spans="1:5" x14ac:dyDescent="0.25">
      <c r="A91" s="1">
        <v>45748</v>
      </c>
      <c r="B91" s="2" t="s">
        <v>5</v>
      </c>
      <c r="C91" s="2" t="s">
        <v>94</v>
      </c>
      <c r="D91" s="7" t="s">
        <v>9</v>
      </c>
      <c r="E91" s="7" t="s">
        <v>95</v>
      </c>
    </row>
    <row r="92" spans="1:5" x14ac:dyDescent="0.25">
      <c r="A92" s="1">
        <v>45748</v>
      </c>
      <c r="B92" s="2" t="s">
        <v>5</v>
      </c>
      <c r="C92" s="2" t="s">
        <v>96</v>
      </c>
      <c r="D92" s="7" t="s">
        <v>10</v>
      </c>
      <c r="E92" s="7" t="s">
        <v>97</v>
      </c>
    </row>
    <row r="93" spans="1:5" x14ac:dyDescent="0.25">
      <c r="A93" s="1">
        <v>45748</v>
      </c>
      <c r="B93" s="2" t="s">
        <v>5</v>
      </c>
      <c r="C93" s="2" t="s">
        <v>98</v>
      </c>
      <c r="D93" s="7" t="s">
        <v>11</v>
      </c>
      <c r="E93" s="7" t="s">
        <v>99</v>
      </c>
    </row>
    <row r="94" spans="1:5" x14ac:dyDescent="0.25">
      <c r="A94" s="1">
        <v>45748</v>
      </c>
      <c r="B94" s="2" t="s">
        <v>5</v>
      </c>
      <c r="C94" s="2" t="s">
        <v>100</v>
      </c>
      <c r="D94" s="7" t="s">
        <v>12</v>
      </c>
      <c r="E94" s="7" t="s">
        <v>101</v>
      </c>
    </row>
    <row r="95" spans="1:5" x14ac:dyDescent="0.25">
      <c r="A95" s="1">
        <v>45748</v>
      </c>
      <c r="B95" s="2" t="s">
        <v>5</v>
      </c>
      <c r="C95" s="2" t="s">
        <v>102</v>
      </c>
      <c r="D95" s="7" t="s">
        <v>13</v>
      </c>
      <c r="E95" s="7" t="s">
        <v>103</v>
      </c>
    </row>
    <row r="96" spans="1:5" x14ac:dyDescent="0.25">
      <c r="A96" s="1">
        <v>45748</v>
      </c>
      <c r="B96" s="2" t="s">
        <v>5</v>
      </c>
      <c r="C96" s="2" t="s">
        <v>104</v>
      </c>
      <c r="D96" s="7" t="s">
        <v>14</v>
      </c>
      <c r="E96" s="7" t="s">
        <v>105</v>
      </c>
    </row>
    <row r="97" spans="1:5" x14ac:dyDescent="0.25">
      <c r="A97" s="1">
        <v>45748</v>
      </c>
      <c r="B97" s="2" t="s">
        <v>5</v>
      </c>
      <c r="C97" s="2" t="s">
        <v>106</v>
      </c>
      <c r="D97" s="7" t="s">
        <v>15</v>
      </c>
      <c r="E97" s="7" t="s">
        <v>107</v>
      </c>
    </row>
    <row r="98" spans="1:5" x14ac:dyDescent="0.25">
      <c r="A98" s="1">
        <v>45748</v>
      </c>
      <c r="B98" s="2" t="s">
        <v>5</v>
      </c>
      <c r="C98" s="2" t="s">
        <v>108</v>
      </c>
      <c r="D98" s="7" t="s">
        <v>16</v>
      </c>
      <c r="E98" s="7" t="s">
        <v>109</v>
      </c>
    </row>
    <row r="99" spans="1:5" x14ac:dyDescent="0.25">
      <c r="A99" s="1">
        <v>45748</v>
      </c>
      <c r="B99" s="2" t="s">
        <v>5</v>
      </c>
      <c r="C99" s="2" t="s">
        <v>110</v>
      </c>
      <c r="D99" s="7" t="s">
        <v>17</v>
      </c>
      <c r="E99" s="7" t="s">
        <v>111</v>
      </c>
    </row>
    <row r="100" spans="1:5" x14ac:dyDescent="0.25">
      <c r="A100" s="1">
        <v>45748</v>
      </c>
      <c r="B100" s="2" t="s">
        <v>5</v>
      </c>
      <c r="C100" s="2" t="s">
        <v>87</v>
      </c>
      <c r="D100" s="7" t="s">
        <v>18</v>
      </c>
      <c r="E100" s="7" t="s">
        <v>112</v>
      </c>
    </row>
    <row r="101" spans="1:5" x14ac:dyDescent="0.25">
      <c r="A101" s="1">
        <v>45748</v>
      </c>
      <c r="B101" s="2" t="s">
        <v>5</v>
      </c>
      <c r="C101" s="2" t="s">
        <v>113</v>
      </c>
      <c r="D101" s="7" t="s">
        <v>19</v>
      </c>
      <c r="E101" s="7" t="s">
        <v>114</v>
      </c>
    </row>
    <row r="102" spans="1:5" x14ac:dyDescent="0.25">
      <c r="A102" s="1">
        <v>45748</v>
      </c>
      <c r="B102" s="2" t="s">
        <v>5</v>
      </c>
      <c r="C102" s="2" t="s">
        <v>115</v>
      </c>
      <c r="D102" s="7" t="s">
        <v>20</v>
      </c>
      <c r="E102" s="7" t="s">
        <v>116</v>
      </c>
    </row>
    <row r="103" spans="1:5" x14ac:dyDescent="0.25">
      <c r="A103" s="1">
        <v>45748</v>
      </c>
      <c r="B103" s="2" t="s">
        <v>5</v>
      </c>
      <c r="C103" s="2" t="s">
        <v>117</v>
      </c>
      <c r="D103" s="7" t="s">
        <v>21</v>
      </c>
      <c r="E103" s="7" t="s">
        <v>118</v>
      </c>
    </row>
    <row r="104" spans="1:5" x14ac:dyDescent="0.25">
      <c r="A104" s="1">
        <v>45748</v>
      </c>
      <c r="B104" s="2" t="s">
        <v>5</v>
      </c>
      <c r="C104" s="2" t="s">
        <v>119</v>
      </c>
      <c r="D104" s="7" t="s">
        <v>22</v>
      </c>
      <c r="E104" s="7" t="s">
        <v>120</v>
      </c>
    </row>
    <row r="105" spans="1:5" x14ac:dyDescent="0.25">
      <c r="A105" s="1">
        <v>45748</v>
      </c>
      <c r="B105" s="2" t="s">
        <v>5</v>
      </c>
      <c r="C105" s="2" t="s">
        <v>121</v>
      </c>
      <c r="D105" s="7" t="s">
        <v>23</v>
      </c>
      <c r="E105" s="7" t="s">
        <v>122</v>
      </c>
    </row>
    <row r="106" spans="1:5" x14ac:dyDescent="0.25">
      <c r="A106" s="1">
        <v>45748</v>
      </c>
      <c r="B106" s="2" t="s">
        <v>5</v>
      </c>
      <c r="C106" s="2" t="s">
        <v>123</v>
      </c>
      <c r="D106" s="7" t="s">
        <v>24</v>
      </c>
      <c r="E106" s="7" t="s">
        <v>124</v>
      </c>
    </row>
    <row r="107" spans="1:5" x14ac:dyDescent="0.25">
      <c r="A107" s="1">
        <v>45748</v>
      </c>
      <c r="B107" s="2" t="s">
        <v>5</v>
      </c>
      <c r="C107" s="2" t="s">
        <v>125</v>
      </c>
      <c r="D107" s="7" t="s">
        <v>25</v>
      </c>
      <c r="E107" s="7" t="s">
        <v>126</v>
      </c>
    </row>
    <row r="108" spans="1:5" x14ac:dyDescent="0.25">
      <c r="A108" s="1">
        <v>45748</v>
      </c>
      <c r="B108" s="2" t="s">
        <v>5</v>
      </c>
      <c r="C108" s="2" t="s">
        <v>127</v>
      </c>
      <c r="D108" s="7" t="s">
        <v>26</v>
      </c>
      <c r="E108" s="7" t="s">
        <v>128</v>
      </c>
    </row>
    <row r="109" spans="1:5" x14ac:dyDescent="0.25">
      <c r="A109" s="1">
        <v>45748</v>
      </c>
      <c r="B109" s="2" t="s">
        <v>5</v>
      </c>
      <c r="C109" s="2" t="s">
        <v>129</v>
      </c>
      <c r="D109" s="7" t="s">
        <v>27</v>
      </c>
      <c r="E109" s="7" t="s">
        <v>130</v>
      </c>
    </row>
    <row r="110" spans="1:5" x14ac:dyDescent="0.25">
      <c r="A110" s="1">
        <v>45748</v>
      </c>
      <c r="B110" s="2" t="s">
        <v>5</v>
      </c>
      <c r="C110" s="2" t="s">
        <v>131</v>
      </c>
      <c r="D110" s="7" t="s">
        <v>28</v>
      </c>
      <c r="E110" s="7" t="s">
        <v>132</v>
      </c>
    </row>
    <row r="111" spans="1:5" x14ac:dyDescent="0.25">
      <c r="A111" s="1">
        <v>45748</v>
      </c>
      <c r="B111" s="2" t="s">
        <v>5</v>
      </c>
      <c r="C111" s="2" t="s">
        <v>133</v>
      </c>
      <c r="D111" s="7" t="s">
        <v>29</v>
      </c>
      <c r="E111" s="7" t="s">
        <v>124</v>
      </c>
    </row>
    <row r="112" spans="1:5" x14ac:dyDescent="0.25">
      <c r="A112" s="1">
        <v>45748</v>
      </c>
      <c r="B112" s="2" t="s">
        <v>5</v>
      </c>
      <c r="C112" s="2" t="s">
        <v>134</v>
      </c>
      <c r="D112" s="7" t="s">
        <v>30</v>
      </c>
      <c r="E112" s="7" t="s">
        <v>126</v>
      </c>
    </row>
    <row r="113" spans="1:5" x14ac:dyDescent="0.25">
      <c r="A113" s="1">
        <v>45748</v>
      </c>
      <c r="B113" s="2" t="s">
        <v>5</v>
      </c>
      <c r="C113" s="2" t="s">
        <v>135</v>
      </c>
      <c r="D113" s="7" t="s">
        <v>31</v>
      </c>
      <c r="E113" s="7" t="s">
        <v>128</v>
      </c>
    </row>
    <row r="114" spans="1:5" x14ac:dyDescent="0.25">
      <c r="A114" s="1">
        <v>45748</v>
      </c>
      <c r="B114" s="2" t="s">
        <v>5</v>
      </c>
      <c r="C114" s="2" t="s">
        <v>136</v>
      </c>
      <c r="D114" s="7" t="s">
        <v>32</v>
      </c>
      <c r="E114" s="7" t="s">
        <v>130</v>
      </c>
    </row>
    <row r="115" spans="1:5" x14ac:dyDescent="0.25">
      <c r="A115" s="1">
        <v>45748</v>
      </c>
      <c r="B115" s="2" t="s">
        <v>5</v>
      </c>
      <c r="C115" s="2" t="s">
        <v>137</v>
      </c>
      <c r="D115" s="7" t="s">
        <v>33</v>
      </c>
      <c r="E115" s="7" t="s">
        <v>132</v>
      </c>
    </row>
    <row r="116" spans="1:5" x14ac:dyDescent="0.25">
      <c r="A116" s="1">
        <v>45748</v>
      </c>
      <c r="B116" s="2" t="s">
        <v>5</v>
      </c>
      <c r="C116" s="2" t="s">
        <v>138</v>
      </c>
      <c r="D116" s="7" t="s">
        <v>34</v>
      </c>
      <c r="E116" s="7" t="s">
        <v>139</v>
      </c>
    </row>
    <row r="117" spans="1:5" x14ac:dyDescent="0.25">
      <c r="A117" s="1">
        <v>45748</v>
      </c>
      <c r="B117" s="2" t="s">
        <v>5</v>
      </c>
      <c r="C117" s="2" t="s">
        <v>140</v>
      </c>
      <c r="D117" s="7" t="s">
        <v>35</v>
      </c>
      <c r="E117" s="7" t="s">
        <v>141</v>
      </c>
    </row>
    <row r="118" spans="1:5" x14ac:dyDescent="0.25">
      <c r="A118" s="1">
        <v>45748</v>
      </c>
      <c r="B118" s="2" t="s">
        <v>5</v>
      </c>
      <c r="C118" s="2" t="s">
        <v>142</v>
      </c>
      <c r="D118" s="7" t="s">
        <v>36</v>
      </c>
      <c r="E118" s="7" t="s">
        <v>101</v>
      </c>
    </row>
    <row r="119" spans="1:5" x14ac:dyDescent="0.25">
      <c r="A119" s="1">
        <v>45748</v>
      </c>
      <c r="B119" s="2" t="s">
        <v>5</v>
      </c>
      <c r="C119" s="2" t="s">
        <v>143</v>
      </c>
      <c r="D119" s="7" t="s">
        <v>37</v>
      </c>
      <c r="E119" s="7" t="s">
        <v>103</v>
      </c>
    </row>
    <row r="120" spans="1:5" x14ac:dyDescent="0.25">
      <c r="A120" s="1">
        <v>45748</v>
      </c>
      <c r="B120" s="2" t="s">
        <v>5</v>
      </c>
      <c r="C120" s="2" t="s">
        <v>144</v>
      </c>
      <c r="D120" s="7" t="s">
        <v>38</v>
      </c>
      <c r="E120" s="7" t="s">
        <v>145</v>
      </c>
    </row>
    <row r="121" spans="1:5" x14ac:dyDescent="0.25">
      <c r="A121" s="1">
        <v>45748</v>
      </c>
      <c r="B121" s="2" t="s">
        <v>5</v>
      </c>
      <c r="C121" s="2" t="s">
        <v>146</v>
      </c>
      <c r="D121" s="7" t="s">
        <v>39</v>
      </c>
      <c r="E121" s="7" t="s">
        <v>139</v>
      </c>
    </row>
    <row r="122" spans="1:5" x14ac:dyDescent="0.25">
      <c r="A122" s="1">
        <v>45748</v>
      </c>
      <c r="B122" s="2" t="s">
        <v>5</v>
      </c>
      <c r="C122" s="2" t="s">
        <v>147</v>
      </c>
      <c r="D122" s="7" t="s">
        <v>40</v>
      </c>
      <c r="E122" s="7" t="s">
        <v>141</v>
      </c>
    </row>
    <row r="123" spans="1:5" x14ac:dyDescent="0.25">
      <c r="A123" s="1">
        <v>45748</v>
      </c>
      <c r="B123" s="2" t="s">
        <v>5</v>
      </c>
      <c r="C123" s="2" t="s">
        <v>148</v>
      </c>
      <c r="D123" s="7" t="s">
        <v>41</v>
      </c>
      <c r="E123" s="7" t="s">
        <v>149</v>
      </c>
    </row>
    <row r="124" spans="1:5" x14ac:dyDescent="0.25">
      <c r="A124" s="1">
        <v>45748</v>
      </c>
      <c r="B124" s="2" t="s">
        <v>5</v>
      </c>
      <c r="C124" s="2" t="s">
        <v>150</v>
      </c>
      <c r="D124" s="7" t="s">
        <v>42</v>
      </c>
      <c r="E124" s="7" t="s">
        <v>151</v>
      </c>
    </row>
    <row r="125" spans="1:5" x14ac:dyDescent="0.25">
      <c r="A125" s="1">
        <v>45748</v>
      </c>
      <c r="B125" s="2" t="s">
        <v>5</v>
      </c>
      <c r="C125" s="2" t="s">
        <v>152</v>
      </c>
      <c r="D125" s="7" t="s">
        <v>43</v>
      </c>
      <c r="E125" s="7" t="s">
        <v>153</v>
      </c>
    </row>
    <row r="126" spans="1:5" x14ac:dyDescent="0.25">
      <c r="A126" s="1">
        <v>45748</v>
      </c>
      <c r="B126" s="2" t="s">
        <v>5</v>
      </c>
      <c r="C126" s="2" t="s">
        <v>154</v>
      </c>
      <c r="D126" s="7" t="s">
        <v>44</v>
      </c>
      <c r="E126" s="7" t="s">
        <v>155</v>
      </c>
    </row>
    <row r="127" spans="1:5" x14ac:dyDescent="0.25">
      <c r="A127" s="1">
        <v>45748</v>
      </c>
      <c r="B127" s="2" t="s">
        <v>5</v>
      </c>
      <c r="C127" s="2" t="s">
        <v>156</v>
      </c>
      <c r="D127" s="7" t="s">
        <v>45</v>
      </c>
      <c r="E127" s="7" t="s">
        <v>157</v>
      </c>
    </row>
    <row r="128" spans="1:5" x14ac:dyDescent="0.25">
      <c r="A128" s="1">
        <v>45748</v>
      </c>
      <c r="B128" s="2" t="s">
        <v>5</v>
      </c>
      <c r="C128" s="2" t="s">
        <v>158</v>
      </c>
      <c r="D128" s="7" t="s">
        <v>46</v>
      </c>
      <c r="E128" s="7" t="s">
        <v>159</v>
      </c>
    </row>
    <row r="129" spans="1:5" x14ac:dyDescent="0.25">
      <c r="A129" s="1">
        <v>45748</v>
      </c>
      <c r="B129" s="2" t="s">
        <v>5</v>
      </c>
      <c r="C129" s="2" t="s">
        <v>160</v>
      </c>
      <c r="D129" s="7" t="s">
        <v>47</v>
      </c>
      <c r="E129" s="7" t="s">
        <v>161</v>
      </c>
    </row>
    <row r="130" spans="1:5" x14ac:dyDescent="0.25">
      <c r="A130" s="1">
        <v>45748</v>
      </c>
      <c r="B130" s="2" t="s">
        <v>5</v>
      </c>
      <c r="C130" s="2" t="s">
        <v>162</v>
      </c>
      <c r="D130" s="7" t="s">
        <v>48</v>
      </c>
      <c r="E130" s="7" t="s">
        <v>163</v>
      </c>
    </row>
    <row r="131" spans="1:5" x14ac:dyDescent="0.25">
      <c r="A131" s="1">
        <v>45748</v>
      </c>
      <c r="B131" s="2" t="s">
        <v>5</v>
      </c>
      <c r="C131" s="2" t="s">
        <v>164</v>
      </c>
      <c r="D131" s="7" t="s">
        <v>49</v>
      </c>
      <c r="E131" s="7" t="s">
        <v>165</v>
      </c>
    </row>
    <row r="132" spans="1:5" x14ac:dyDescent="0.25">
      <c r="A132" s="1">
        <v>45748</v>
      </c>
      <c r="B132" s="2" t="s">
        <v>50</v>
      </c>
      <c r="C132" s="2" t="s">
        <v>88</v>
      </c>
      <c r="D132" s="7" t="s">
        <v>6</v>
      </c>
      <c r="E132" s="7" t="s">
        <v>166</v>
      </c>
    </row>
    <row r="133" spans="1:5" x14ac:dyDescent="0.25">
      <c r="A133" s="1">
        <v>45748</v>
      </c>
      <c r="B133" s="2" t="s">
        <v>50</v>
      </c>
      <c r="C133" s="2" t="s">
        <v>90</v>
      </c>
      <c r="D133" s="7" t="s">
        <v>51</v>
      </c>
      <c r="E133" s="7" t="s">
        <v>167</v>
      </c>
    </row>
    <row r="134" spans="1:5" x14ac:dyDescent="0.25">
      <c r="A134" s="1">
        <v>45748</v>
      </c>
      <c r="B134" s="2" t="s">
        <v>50</v>
      </c>
      <c r="C134" s="2" t="s">
        <v>92</v>
      </c>
      <c r="D134" s="7" t="s">
        <v>52</v>
      </c>
      <c r="E134" s="7" t="s">
        <v>168</v>
      </c>
    </row>
    <row r="135" spans="1:5" x14ac:dyDescent="0.25">
      <c r="A135" s="1">
        <v>45748</v>
      </c>
      <c r="B135" s="2" t="s">
        <v>50</v>
      </c>
      <c r="C135" s="2" t="s">
        <v>96</v>
      </c>
      <c r="D135" s="7" t="s">
        <v>53</v>
      </c>
      <c r="E135" s="7" t="s">
        <v>166</v>
      </c>
    </row>
    <row r="136" spans="1:5" x14ac:dyDescent="0.25">
      <c r="A136" s="1">
        <v>45748</v>
      </c>
      <c r="B136" s="2" t="s">
        <v>50</v>
      </c>
      <c r="C136" s="2" t="s">
        <v>98</v>
      </c>
      <c r="D136" s="7" t="s">
        <v>54</v>
      </c>
      <c r="E136" s="7" t="s">
        <v>169</v>
      </c>
    </row>
    <row r="137" spans="1:5" x14ac:dyDescent="0.25">
      <c r="A137" s="1">
        <v>45748</v>
      </c>
      <c r="B137" s="2" t="s">
        <v>50</v>
      </c>
      <c r="C137" s="2" t="s">
        <v>100</v>
      </c>
      <c r="D137" s="7" t="s">
        <v>55</v>
      </c>
      <c r="E137" s="7" t="s">
        <v>170</v>
      </c>
    </row>
    <row r="138" spans="1:5" x14ac:dyDescent="0.25">
      <c r="A138" s="1">
        <v>45748</v>
      </c>
      <c r="B138" s="2" t="s">
        <v>50</v>
      </c>
      <c r="C138" s="2" t="s">
        <v>102</v>
      </c>
      <c r="D138" s="7" t="s">
        <v>56</v>
      </c>
      <c r="E138" s="7" t="s">
        <v>170</v>
      </c>
    </row>
    <row r="139" spans="1:5" x14ac:dyDescent="0.25">
      <c r="A139" s="1">
        <v>45748</v>
      </c>
      <c r="B139" s="2" t="s">
        <v>50</v>
      </c>
      <c r="C139" s="2" t="s">
        <v>106</v>
      </c>
      <c r="D139" s="7" t="s">
        <v>57</v>
      </c>
      <c r="E139" s="7" t="s">
        <v>170</v>
      </c>
    </row>
    <row r="140" spans="1:5" x14ac:dyDescent="0.25">
      <c r="A140" s="1">
        <v>45748</v>
      </c>
      <c r="B140" s="2" t="s">
        <v>50</v>
      </c>
      <c r="C140" s="2" t="s">
        <v>142</v>
      </c>
      <c r="D140" s="7" t="s">
        <v>58</v>
      </c>
      <c r="E140" s="7" t="s">
        <v>171</v>
      </c>
    </row>
    <row r="141" spans="1:5" x14ac:dyDescent="0.25">
      <c r="A141" s="1">
        <v>45748</v>
      </c>
      <c r="B141" s="2" t="s">
        <v>50</v>
      </c>
      <c r="C141" s="2" t="s">
        <v>172</v>
      </c>
      <c r="D141" s="7" t="s">
        <v>59</v>
      </c>
      <c r="E141" s="7" t="s">
        <v>173</v>
      </c>
    </row>
    <row r="142" spans="1:5" x14ac:dyDescent="0.25">
      <c r="A142" s="1">
        <v>45748</v>
      </c>
      <c r="B142" s="2" t="s">
        <v>50</v>
      </c>
      <c r="C142" s="2" t="s">
        <v>174</v>
      </c>
      <c r="D142" s="7" t="s">
        <v>60</v>
      </c>
      <c r="E142" s="7" t="s">
        <v>175</v>
      </c>
    </row>
    <row r="143" spans="1:5" x14ac:dyDescent="0.25">
      <c r="A143" s="1">
        <v>45748</v>
      </c>
      <c r="B143" s="2" t="s">
        <v>50</v>
      </c>
      <c r="C143" s="2" t="s">
        <v>176</v>
      </c>
      <c r="D143" s="7" t="s">
        <v>61</v>
      </c>
      <c r="E143" s="7" t="s">
        <v>177</v>
      </c>
    </row>
    <row r="144" spans="1:5" x14ac:dyDescent="0.25">
      <c r="A144" s="1">
        <v>45748</v>
      </c>
      <c r="B144" s="2" t="s">
        <v>50</v>
      </c>
      <c r="C144" s="2" t="s">
        <v>178</v>
      </c>
      <c r="D144" s="7" t="s">
        <v>62</v>
      </c>
      <c r="E144" s="7" t="s">
        <v>179</v>
      </c>
    </row>
    <row r="145" spans="1:5" x14ac:dyDescent="0.25">
      <c r="A145" s="1">
        <v>45748</v>
      </c>
      <c r="B145" s="2" t="s">
        <v>50</v>
      </c>
      <c r="C145" s="2" t="s">
        <v>180</v>
      </c>
      <c r="D145" s="7" t="s">
        <v>63</v>
      </c>
      <c r="E145" s="7" t="s">
        <v>181</v>
      </c>
    </row>
    <row r="146" spans="1:5" x14ac:dyDescent="0.25">
      <c r="A146" s="1">
        <v>45748</v>
      </c>
      <c r="B146" s="2" t="s">
        <v>50</v>
      </c>
      <c r="C146" s="2" t="s">
        <v>182</v>
      </c>
      <c r="D146" s="7" t="s">
        <v>64</v>
      </c>
      <c r="E146" s="7" t="s">
        <v>183</v>
      </c>
    </row>
    <row r="147" spans="1:5" x14ac:dyDescent="0.25">
      <c r="A147" s="1">
        <v>45748</v>
      </c>
      <c r="B147" s="2" t="s">
        <v>50</v>
      </c>
      <c r="C147" s="2" t="s">
        <v>184</v>
      </c>
      <c r="D147" s="7" t="s">
        <v>65</v>
      </c>
      <c r="E147" s="7" t="s">
        <v>185</v>
      </c>
    </row>
    <row r="148" spans="1:5" x14ac:dyDescent="0.25">
      <c r="A148" s="1">
        <v>45748</v>
      </c>
      <c r="B148" s="2" t="s">
        <v>50</v>
      </c>
      <c r="C148" s="2" t="s">
        <v>186</v>
      </c>
      <c r="D148" s="7" t="s">
        <v>66</v>
      </c>
      <c r="E148" s="7" t="s">
        <v>187</v>
      </c>
    </row>
    <row r="149" spans="1:5" x14ac:dyDescent="0.25">
      <c r="A149" s="1">
        <v>45748</v>
      </c>
      <c r="B149" s="2" t="s">
        <v>50</v>
      </c>
      <c r="C149" s="2" t="s">
        <v>188</v>
      </c>
      <c r="D149" s="7" t="s">
        <v>67</v>
      </c>
      <c r="E149" s="7" t="s">
        <v>189</v>
      </c>
    </row>
    <row r="150" spans="1:5" x14ac:dyDescent="0.25">
      <c r="A150" s="1">
        <v>45748</v>
      </c>
      <c r="B150" s="2" t="s">
        <v>50</v>
      </c>
      <c r="C150" s="2" t="s">
        <v>190</v>
      </c>
      <c r="D150" s="7" t="s">
        <v>68</v>
      </c>
      <c r="E150" s="7" t="s">
        <v>191</v>
      </c>
    </row>
    <row r="151" spans="1:5" x14ac:dyDescent="0.25">
      <c r="A151" s="1">
        <v>45748</v>
      </c>
      <c r="B151" s="2" t="s">
        <v>50</v>
      </c>
      <c r="C151" s="2" t="s">
        <v>192</v>
      </c>
      <c r="D151" s="7" t="s">
        <v>69</v>
      </c>
      <c r="E151" s="7" t="s">
        <v>193</v>
      </c>
    </row>
    <row r="152" spans="1:5" x14ac:dyDescent="0.25">
      <c r="A152" s="1">
        <v>45748</v>
      </c>
      <c r="B152" s="2" t="s">
        <v>50</v>
      </c>
      <c r="C152" s="2" t="s">
        <v>194</v>
      </c>
      <c r="D152" s="7" t="s">
        <v>70</v>
      </c>
      <c r="E152" s="7" t="s">
        <v>195</v>
      </c>
    </row>
    <row r="153" spans="1:5" x14ac:dyDescent="0.25">
      <c r="A153" s="1">
        <v>45748</v>
      </c>
      <c r="B153" s="2" t="s">
        <v>50</v>
      </c>
      <c r="C153" s="2" t="s">
        <v>196</v>
      </c>
      <c r="D153" s="7" t="s">
        <v>71</v>
      </c>
      <c r="E153" s="7" t="s">
        <v>197</v>
      </c>
    </row>
    <row r="154" spans="1:5" x14ac:dyDescent="0.25">
      <c r="A154" s="1">
        <v>45748</v>
      </c>
      <c r="B154" s="2" t="s">
        <v>50</v>
      </c>
      <c r="C154" s="2" t="s">
        <v>198</v>
      </c>
      <c r="D154" s="7" t="s">
        <v>72</v>
      </c>
      <c r="E154" s="7" t="s">
        <v>199</v>
      </c>
    </row>
    <row r="155" spans="1:5" x14ac:dyDescent="0.25">
      <c r="A155" s="1">
        <v>45748</v>
      </c>
      <c r="B155" s="2" t="s">
        <v>50</v>
      </c>
      <c r="C155" s="2" t="s">
        <v>200</v>
      </c>
      <c r="D155" s="7" t="s">
        <v>73</v>
      </c>
      <c r="E155" s="7" t="s">
        <v>201</v>
      </c>
    </row>
    <row r="156" spans="1:5" x14ac:dyDescent="0.25">
      <c r="A156" s="1">
        <v>45748</v>
      </c>
      <c r="B156" s="2" t="s">
        <v>50</v>
      </c>
      <c r="C156" s="2" t="s">
        <v>202</v>
      </c>
      <c r="D156" s="7" t="s">
        <v>74</v>
      </c>
      <c r="E156" s="7" t="s">
        <v>203</v>
      </c>
    </row>
    <row r="157" spans="1:5" x14ac:dyDescent="0.25">
      <c r="A157" s="1">
        <v>45748</v>
      </c>
      <c r="B157" s="2" t="s">
        <v>50</v>
      </c>
      <c r="C157" s="2" t="s">
        <v>204</v>
      </c>
      <c r="D157" s="7" t="s">
        <v>75</v>
      </c>
      <c r="E157" s="7" t="s">
        <v>205</v>
      </c>
    </row>
    <row r="158" spans="1:5" x14ac:dyDescent="0.25">
      <c r="A158" s="1">
        <v>45748</v>
      </c>
      <c r="B158" s="2" t="s">
        <v>50</v>
      </c>
      <c r="C158" s="2" t="s">
        <v>206</v>
      </c>
      <c r="D158" s="7" t="s">
        <v>76</v>
      </c>
      <c r="E158" s="7" t="s">
        <v>207</v>
      </c>
    </row>
    <row r="159" spans="1:5" x14ac:dyDescent="0.25">
      <c r="A159" s="1">
        <v>45748</v>
      </c>
      <c r="B159" s="2" t="s">
        <v>50</v>
      </c>
      <c r="C159" s="2" t="s">
        <v>138</v>
      </c>
      <c r="D159" s="7" t="s">
        <v>77</v>
      </c>
      <c r="E159" s="7" t="s">
        <v>208</v>
      </c>
    </row>
    <row r="160" spans="1:5" x14ac:dyDescent="0.25">
      <c r="A160" s="1">
        <v>45748</v>
      </c>
      <c r="B160" s="2" t="s">
        <v>50</v>
      </c>
      <c r="C160" s="2" t="s">
        <v>146</v>
      </c>
      <c r="D160" s="7" t="s">
        <v>78</v>
      </c>
      <c r="E160" s="7" t="s">
        <v>209</v>
      </c>
    </row>
    <row r="161" spans="1:5" x14ac:dyDescent="0.25">
      <c r="A161" s="1">
        <v>45748</v>
      </c>
      <c r="B161" s="2" t="s">
        <v>50</v>
      </c>
      <c r="C161" s="2" t="s">
        <v>143</v>
      </c>
      <c r="D161" s="7" t="s">
        <v>79</v>
      </c>
      <c r="E161" s="7" t="s">
        <v>210</v>
      </c>
    </row>
    <row r="162" spans="1:5" x14ac:dyDescent="0.25">
      <c r="A162" s="1">
        <v>45748</v>
      </c>
      <c r="B162" s="2" t="s">
        <v>50</v>
      </c>
      <c r="C162" s="2" t="s">
        <v>144</v>
      </c>
      <c r="D162" s="7" t="s">
        <v>80</v>
      </c>
      <c r="E162" s="7" t="s">
        <v>211</v>
      </c>
    </row>
    <row r="163" spans="1:5" x14ac:dyDescent="0.25">
      <c r="A163" s="1">
        <v>45748</v>
      </c>
      <c r="B163" s="2" t="s">
        <v>50</v>
      </c>
      <c r="C163" s="2" t="s">
        <v>140</v>
      </c>
      <c r="D163" s="7" t="s">
        <v>81</v>
      </c>
      <c r="E163" s="7" t="s">
        <v>212</v>
      </c>
    </row>
    <row r="164" spans="1:5" x14ac:dyDescent="0.25">
      <c r="A164" s="1">
        <v>45748</v>
      </c>
      <c r="B164" s="2" t="s">
        <v>50</v>
      </c>
      <c r="C164" s="2" t="s">
        <v>148</v>
      </c>
      <c r="D164" s="7" t="s">
        <v>82</v>
      </c>
      <c r="E164" s="7" t="s">
        <v>213</v>
      </c>
    </row>
    <row r="165" spans="1:5" x14ac:dyDescent="0.25">
      <c r="A165" s="1">
        <v>45748</v>
      </c>
      <c r="B165" s="2" t="s">
        <v>50</v>
      </c>
      <c r="C165" s="2" t="s">
        <v>150</v>
      </c>
      <c r="D165" s="7" t="s">
        <v>83</v>
      </c>
      <c r="E165" s="7" t="s">
        <v>214</v>
      </c>
    </row>
    <row r="166" spans="1:5" x14ac:dyDescent="0.25">
      <c r="A166" s="1">
        <v>45748</v>
      </c>
      <c r="B166" s="2" t="s">
        <v>50</v>
      </c>
      <c r="C166" s="2" t="s">
        <v>215</v>
      </c>
      <c r="D166" s="7" t="s">
        <v>84</v>
      </c>
      <c r="E166" s="7" t="s">
        <v>214</v>
      </c>
    </row>
    <row r="167" spans="1:5" x14ac:dyDescent="0.25">
      <c r="A167" s="1">
        <v>45748</v>
      </c>
      <c r="B167" s="2" t="s">
        <v>50</v>
      </c>
      <c r="C167" s="2" t="s">
        <v>162</v>
      </c>
      <c r="D167" s="7" t="s">
        <v>85</v>
      </c>
      <c r="E167" s="7" t="s">
        <v>216</v>
      </c>
    </row>
    <row r="168" spans="1:5" x14ac:dyDescent="0.25">
      <c r="A168" s="1">
        <v>45748</v>
      </c>
      <c r="B168" s="2" t="s">
        <v>50</v>
      </c>
      <c r="C168" s="2" t="s">
        <v>164</v>
      </c>
      <c r="D168" s="7" t="s">
        <v>49</v>
      </c>
      <c r="E168" s="7" t="s">
        <v>217</v>
      </c>
    </row>
    <row r="169" spans="1:5" x14ac:dyDescent="0.25">
      <c r="A169" s="1">
        <v>45748</v>
      </c>
      <c r="B169" s="2" t="s">
        <v>50</v>
      </c>
      <c r="C169" s="2" t="s">
        <v>218</v>
      </c>
      <c r="D169" s="7" t="s">
        <v>86</v>
      </c>
      <c r="E169" s="7" t="s">
        <v>219</v>
      </c>
    </row>
    <row r="170" spans="1:5" x14ac:dyDescent="0.25">
      <c r="A170" s="1">
        <v>45748</v>
      </c>
      <c r="B170" s="2" t="s">
        <v>50</v>
      </c>
      <c r="C170" s="2" t="s">
        <v>154</v>
      </c>
      <c r="D170" s="7" t="s">
        <v>44</v>
      </c>
      <c r="E170" s="7" t="s">
        <v>155</v>
      </c>
    </row>
    <row r="171" spans="1:5" x14ac:dyDescent="0.25">
      <c r="A171" s="1">
        <v>45748</v>
      </c>
      <c r="B171" s="2" t="s">
        <v>50</v>
      </c>
      <c r="C171" s="2" t="s">
        <v>156</v>
      </c>
      <c r="D171" s="7" t="s">
        <v>45</v>
      </c>
      <c r="E171" s="7" t="s">
        <v>157</v>
      </c>
    </row>
    <row r="172" spans="1:5" x14ac:dyDescent="0.25">
      <c r="A172" s="1">
        <v>45748</v>
      </c>
      <c r="B172" s="2" t="s">
        <v>50</v>
      </c>
      <c r="C172" s="2" t="s">
        <v>158</v>
      </c>
      <c r="D172" s="7" t="s">
        <v>46</v>
      </c>
      <c r="E172" s="7" t="s">
        <v>159</v>
      </c>
    </row>
    <row r="173" spans="1:5" x14ac:dyDescent="0.25">
      <c r="A173" s="1">
        <v>45748</v>
      </c>
      <c r="B173" s="2" t="s">
        <v>50</v>
      </c>
      <c r="C173" s="2" t="s">
        <v>160</v>
      </c>
      <c r="D173" s="7" t="s">
        <v>47</v>
      </c>
      <c r="E173" s="7" t="s">
        <v>161</v>
      </c>
    </row>
    <row r="174" spans="1:5" x14ac:dyDescent="0.25">
      <c r="A174" s="1">
        <v>45658</v>
      </c>
      <c r="B174" s="2" t="s">
        <v>5</v>
      </c>
      <c r="C174" s="2" t="s">
        <v>88</v>
      </c>
      <c r="D174" s="7" t="s">
        <v>6</v>
      </c>
      <c r="E174" s="7" t="s">
        <v>303</v>
      </c>
    </row>
    <row r="175" spans="1:5" x14ac:dyDescent="0.25">
      <c r="A175" s="1">
        <v>45658</v>
      </c>
      <c r="B175" s="2" t="s">
        <v>5</v>
      </c>
      <c r="C175" s="2" t="s">
        <v>90</v>
      </c>
      <c r="D175" s="7" t="s">
        <v>7</v>
      </c>
      <c r="E175" s="7" t="s">
        <v>304</v>
      </c>
    </row>
    <row r="176" spans="1:5" x14ac:dyDescent="0.25">
      <c r="A176" s="1">
        <v>45658</v>
      </c>
      <c r="B176" s="2" t="s">
        <v>5</v>
      </c>
      <c r="C176" s="2" t="s">
        <v>92</v>
      </c>
      <c r="D176" s="7" t="s">
        <v>8</v>
      </c>
      <c r="E176" s="7" t="s">
        <v>305</v>
      </c>
    </row>
    <row r="177" spans="1:5" x14ac:dyDescent="0.25">
      <c r="A177" s="1">
        <v>45658</v>
      </c>
      <c r="B177" s="2" t="s">
        <v>5</v>
      </c>
      <c r="C177" s="2" t="s">
        <v>94</v>
      </c>
      <c r="D177" s="7" t="s">
        <v>9</v>
      </c>
      <c r="E177" s="7" t="s">
        <v>306</v>
      </c>
    </row>
    <row r="178" spans="1:5" x14ac:dyDescent="0.25">
      <c r="A178" s="1">
        <v>45658</v>
      </c>
      <c r="B178" s="2" t="s">
        <v>5</v>
      </c>
      <c r="C178" s="2" t="s">
        <v>96</v>
      </c>
      <c r="D178" s="7" t="s">
        <v>10</v>
      </c>
      <c r="E178" s="7" t="s">
        <v>307</v>
      </c>
    </row>
    <row r="179" spans="1:5" x14ac:dyDescent="0.25">
      <c r="A179" s="1">
        <v>45658</v>
      </c>
      <c r="B179" s="2" t="s">
        <v>5</v>
      </c>
      <c r="C179" s="2" t="s">
        <v>98</v>
      </c>
      <c r="D179" s="7" t="s">
        <v>11</v>
      </c>
      <c r="E179" s="7" t="s">
        <v>308</v>
      </c>
    </row>
    <row r="180" spans="1:5" x14ac:dyDescent="0.25">
      <c r="A180" s="1">
        <v>45658</v>
      </c>
      <c r="B180" s="2" t="s">
        <v>5</v>
      </c>
      <c r="C180" s="2" t="s">
        <v>100</v>
      </c>
      <c r="D180" s="7" t="s">
        <v>12</v>
      </c>
      <c r="E180" s="7" t="s">
        <v>309</v>
      </c>
    </row>
    <row r="181" spans="1:5" x14ac:dyDescent="0.25">
      <c r="A181" s="1">
        <v>45658</v>
      </c>
      <c r="B181" s="2" t="s">
        <v>5</v>
      </c>
      <c r="C181" s="2" t="s">
        <v>102</v>
      </c>
      <c r="D181" s="7" t="s">
        <v>13</v>
      </c>
      <c r="E181" s="7" t="s">
        <v>310</v>
      </c>
    </row>
    <row r="182" spans="1:5" x14ac:dyDescent="0.25">
      <c r="A182" s="1">
        <v>45658</v>
      </c>
      <c r="B182" s="2" t="s">
        <v>5</v>
      </c>
      <c r="C182" s="2" t="s">
        <v>104</v>
      </c>
      <c r="D182" s="7" t="s">
        <v>14</v>
      </c>
      <c r="E182" s="7" t="s">
        <v>311</v>
      </c>
    </row>
    <row r="183" spans="1:5" x14ac:dyDescent="0.25">
      <c r="A183" s="1">
        <v>45658</v>
      </c>
      <c r="B183" s="2" t="s">
        <v>5</v>
      </c>
      <c r="C183" s="2" t="s">
        <v>106</v>
      </c>
      <c r="D183" s="7" t="s">
        <v>15</v>
      </c>
      <c r="E183" s="7" t="s">
        <v>312</v>
      </c>
    </row>
    <row r="184" spans="1:5" x14ac:dyDescent="0.25">
      <c r="A184" s="1">
        <v>45658</v>
      </c>
      <c r="B184" s="2" t="s">
        <v>5</v>
      </c>
      <c r="C184" s="2" t="s">
        <v>108</v>
      </c>
      <c r="D184" s="7" t="s">
        <v>16</v>
      </c>
      <c r="E184" s="7" t="s">
        <v>313</v>
      </c>
    </row>
    <row r="185" spans="1:5" x14ac:dyDescent="0.25">
      <c r="A185" s="1">
        <v>45658</v>
      </c>
      <c r="B185" s="2" t="s">
        <v>5</v>
      </c>
      <c r="C185" s="2" t="s">
        <v>110</v>
      </c>
      <c r="D185" s="7" t="s">
        <v>17</v>
      </c>
      <c r="E185" s="7" t="s">
        <v>314</v>
      </c>
    </row>
    <row r="186" spans="1:5" x14ac:dyDescent="0.25">
      <c r="A186" s="1">
        <v>45658</v>
      </c>
      <c r="B186" s="2" t="s">
        <v>5</v>
      </c>
      <c r="C186" s="2" t="s">
        <v>87</v>
      </c>
      <c r="D186" s="7" t="s">
        <v>18</v>
      </c>
      <c r="E186" s="7" t="s">
        <v>315</v>
      </c>
    </row>
    <row r="187" spans="1:5" x14ac:dyDescent="0.25">
      <c r="A187" s="1">
        <v>45658</v>
      </c>
      <c r="B187" s="2" t="s">
        <v>5</v>
      </c>
      <c r="C187" s="2" t="s">
        <v>113</v>
      </c>
      <c r="D187" s="7" t="s">
        <v>19</v>
      </c>
      <c r="E187" s="7" t="s">
        <v>316</v>
      </c>
    </row>
    <row r="188" spans="1:5" x14ac:dyDescent="0.25">
      <c r="A188" s="1">
        <v>45658</v>
      </c>
      <c r="B188" s="2" t="s">
        <v>5</v>
      </c>
      <c r="C188" s="2" t="s">
        <v>115</v>
      </c>
      <c r="D188" s="7" t="s">
        <v>20</v>
      </c>
      <c r="E188" s="7" t="s">
        <v>317</v>
      </c>
    </row>
    <row r="189" spans="1:5" x14ac:dyDescent="0.25">
      <c r="A189" s="1">
        <v>45658</v>
      </c>
      <c r="B189" s="2" t="s">
        <v>5</v>
      </c>
      <c r="C189" s="2" t="s">
        <v>117</v>
      </c>
      <c r="D189" s="7" t="s">
        <v>21</v>
      </c>
      <c r="E189" s="7" t="s">
        <v>318</v>
      </c>
    </row>
    <row r="190" spans="1:5" x14ac:dyDescent="0.25">
      <c r="A190" s="1">
        <v>45658</v>
      </c>
      <c r="B190" s="2" t="s">
        <v>5</v>
      </c>
      <c r="C190" s="2" t="s">
        <v>119</v>
      </c>
      <c r="D190" s="7" t="s">
        <v>22</v>
      </c>
      <c r="E190" s="7" t="s">
        <v>319</v>
      </c>
    </row>
    <row r="191" spans="1:5" x14ac:dyDescent="0.25">
      <c r="A191" s="1">
        <v>45658</v>
      </c>
      <c r="B191" s="2" t="s">
        <v>5</v>
      </c>
      <c r="C191" s="2" t="s">
        <v>121</v>
      </c>
      <c r="D191" s="7" t="s">
        <v>23</v>
      </c>
      <c r="E191" s="7" t="s">
        <v>320</v>
      </c>
    </row>
    <row r="192" spans="1:5" x14ac:dyDescent="0.25">
      <c r="A192" s="1">
        <v>45658</v>
      </c>
      <c r="B192" s="2" t="s">
        <v>5</v>
      </c>
      <c r="C192" s="2" t="s">
        <v>123</v>
      </c>
      <c r="D192" s="7" t="s">
        <v>24</v>
      </c>
      <c r="E192" s="7" t="s">
        <v>321</v>
      </c>
    </row>
    <row r="193" spans="1:5" x14ac:dyDescent="0.25">
      <c r="A193" s="1">
        <v>45658</v>
      </c>
      <c r="B193" s="2" t="s">
        <v>5</v>
      </c>
      <c r="C193" s="2" t="s">
        <v>125</v>
      </c>
      <c r="D193" s="7" t="s">
        <v>25</v>
      </c>
      <c r="E193" s="7" t="s">
        <v>322</v>
      </c>
    </row>
    <row r="194" spans="1:5" x14ac:dyDescent="0.25">
      <c r="A194" s="1">
        <v>45658</v>
      </c>
      <c r="B194" s="2" t="s">
        <v>5</v>
      </c>
      <c r="C194" s="2" t="s">
        <v>127</v>
      </c>
      <c r="D194" s="7" t="s">
        <v>26</v>
      </c>
      <c r="E194" s="7" t="s">
        <v>323</v>
      </c>
    </row>
    <row r="195" spans="1:5" x14ac:dyDescent="0.25">
      <c r="A195" s="1">
        <v>45658</v>
      </c>
      <c r="B195" s="2" t="s">
        <v>5</v>
      </c>
      <c r="C195" s="2" t="s">
        <v>129</v>
      </c>
      <c r="D195" s="7" t="s">
        <v>27</v>
      </c>
      <c r="E195" s="7" t="s">
        <v>324</v>
      </c>
    </row>
    <row r="196" spans="1:5" x14ac:dyDescent="0.25">
      <c r="A196" s="1">
        <v>45658</v>
      </c>
      <c r="B196" s="2" t="s">
        <v>5</v>
      </c>
      <c r="C196" s="2" t="s">
        <v>131</v>
      </c>
      <c r="D196" s="7" t="s">
        <v>28</v>
      </c>
      <c r="E196" s="7" t="s">
        <v>325</v>
      </c>
    </row>
    <row r="197" spans="1:5" x14ac:dyDescent="0.25">
      <c r="A197" s="1">
        <v>45658</v>
      </c>
      <c r="B197" s="2" t="s">
        <v>5</v>
      </c>
      <c r="C197" s="2" t="s">
        <v>133</v>
      </c>
      <c r="D197" s="7" t="s">
        <v>29</v>
      </c>
      <c r="E197" s="7" t="s">
        <v>321</v>
      </c>
    </row>
    <row r="198" spans="1:5" x14ac:dyDescent="0.25">
      <c r="A198" s="1">
        <v>45658</v>
      </c>
      <c r="B198" s="2" t="s">
        <v>5</v>
      </c>
      <c r="C198" s="2" t="s">
        <v>134</v>
      </c>
      <c r="D198" s="7" t="s">
        <v>30</v>
      </c>
      <c r="E198" s="7" t="s">
        <v>322</v>
      </c>
    </row>
    <row r="199" spans="1:5" x14ac:dyDescent="0.25">
      <c r="A199" s="1">
        <v>45658</v>
      </c>
      <c r="B199" s="2" t="s">
        <v>5</v>
      </c>
      <c r="C199" s="2" t="s">
        <v>135</v>
      </c>
      <c r="D199" s="7" t="s">
        <v>31</v>
      </c>
      <c r="E199" s="7" t="s">
        <v>323</v>
      </c>
    </row>
    <row r="200" spans="1:5" x14ac:dyDescent="0.25">
      <c r="A200" s="1">
        <v>45658</v>
      </c>
      <c r="B200" s="2" t="s">
        <v>5</v>
      </c>
      <c r="C200" s="2" t="s">
        <v>136</v>
      </c>
      <c r="D200" s="7" t="s">
        <v>32</v>
      </c>
      <c r="E200" s="7" t="s">
        <v>324</v>
      </c>
    </row>
    <row r="201" spans="1:5" x14ac:dyDescent="0.25">
      <c r="A201" s="1">
        <v>45658</v>
      </c>
      <c r="B201" s="2" t="s">
        <v>5</v>
      </c>
      <c r="C201" s="2" t="s">
        <v>137</v>
      </c>
      <c r="D201" s="7" t="s">
        <v>33</v>
      </c>
      <c r="E201" s="7" t="s">
        <v>325</v>
      </c>
    </row>
    <row r="202" spans="1:5" x14ac:dyDescent="0.25">
      <c r="A202" s="1">
        <v>45658</v>
      </c>
      <c r="B202" s="2" t="s">
        <v>5</v>
      </c>
      <c r="C202" s="2" t="s">
        <v>138</v>
      </c>
      <c r="D202" s="7" t="s">
        <v>34</v>
      </c>
      <c r="E202" s="7" t="s">
        <v>326</v>
      </c>
    </row>
    <row r="203" spans="1:5" x14ac:dyDescent="0.25">
      <c r="A203" s="1">
        <v>45658</v>
      </c>
      <c r="B203" s="2" t="s">
        <v>5</v>
      </c>
      <c r="C203" s="2" t="s">
        <v>140</v>
      </c>
      <c r="D203" s="7" t="s">
        <v>35</v>
      </c>
      <c r="E203" s="7" t="s">
        <v>327</v>
      </c>
    </row>
    <row r="204" spans="1:5" x14ac:dyDescent="0.25">
      <c r="A204" s="1">
        <v>45658</v>
      </c>
      <c r="B204" s="2" t="s">
        <v>5</v>
      </c>
      <c r="C204" s="2" t="s">
        <v>142</v>
      </c>
      <c r="D204" s="7" t="s">
        <v>36</v>
      </c>
      <c r="E204" s="7" t="s">
        <v>309</v>
      </c>
    </row>
    <row r="205" spans="1:5" x14ac:dyDescent="0.25">
      <c r="A205" s="1">
        <v>45658</v>
      </c>
      <c r="B205" s="2" t="s">
        <v>5</v>
      </c>
      <c r="C205" s="2" t="s">
        <v>143</v>
      </c>
      <c r="D205" s="7" t="s">
        <v>37</v>
      </c>
      <c r="E205" s="7" t="s">
        <v>310</v>
      </c>
    </row>
    <row r="206" spans="1:5" x14ac:dyDescent="0.25">
      <c r="A206" s="1">
        <v>45658</v>
      </c>
      <c r="B206" s="2" t="s">
        <v>5</v>
      </c>
      <c r="C206" s="2" t="s">
        <v>144</v>
      </c>
      <c r="D206" s="7" t="s">
        <v>38</v>
      </c>
      <c r="E206" s="7" t="s">
        <v>328</v>
      </c>
    </row>
    <row r="207" spans="1:5" x14ac:dyDescent="0.25">
      <c r="A207" s="1">
        <v>45658</v>
      </c>
      <c r="B207" s="2" t="s">
        <v>5</v>
      </c>
      <c r="C207" s="2" t="s">
        <v>146</v>
      </c>
      <c r="D207" s="7" t="s">
        <v>39</v>
      </c>
      <c r="E207" s="7" t="s">
        <v>326</v>
      </c>
    </row>
    <row r="208" spans="1:5" x14ac:dyDescent="0.25">
      <c r="A208" s="1">
        <v>45658</v>
      </c>
      <c r="B208" s="2" t="s">
        <v>5</v>
      </c>
      <c r="C208" s="2" t="s">
        <v>147</v>
      </c>
      <c r="D208" s="7" t="s">
        <v>40</v>
      </c>
      <c r="E208" s="7" t="s">
        <v>327</v>
      </c>
    </row>
    <row r="209" spans="1:5" x14ac:dyDescent="0.25">
      <c r="A209" s="1">
        <v>45658</v>
      </c>
      <c r="B209" s="2" t="s">
        <v>5</v>
      </c>
      <c r="C209" s="2" t="s">
        <v>148</v>
      </c>
      <c r="D209" s="7" t="s">
        <v>41</v>
      </c>
      <c r="E209" s="7" t="s">
        <v>329</v>
      </c>
    </row>
    <row r="210" spans="1:5" x14ac:dyDescent="0.25">
      <c r="A210" s="1">
        <v>45658</v>
      </c>
      <c r="B210" s="2" t="s">
        <v>5</v>
      </c>
      <c r="C210" s="2" t="s">
        <v>150</v>
      </c>
      <c r="D210" s="7" t="s">
        <v>42</v>
      </c>
      <c r="E210" s="7" t="s">
        <v>330</v>
      </c>
    </row>
    <row r="211" spans="1:5" x14ac:dyDescent="0.25">
      <c r="A211" s="1">
        <v>45658</v>
      </c>
      <c r="B211" s="2" t="s">
        <v>5</v>
      </c>
      <c r="C211" s="2" t="s">
        <v>152</v>
      </c>
      <c r="D211" s="7" t="s">
        <v>43</v>
      </c>
      <c r="E211" s="7" t="s">
        <v>331</v>
      </c>
    </row>
    <row r="212" spans="1:5" x14ac:dyDescent="0.25">
      <c r="A212" s="1">
        <v>45658</v>
      </c>
      <c r="B212" s="2" t="s">
        <v>5</v>
      </c>
      <c r="C212" s="2" t="s">
        <v>154</v>
      </c>
      <c r="D212" s="7" t="s">
        <v>44</v>
      </c>
      <c r="E212" s="7" t="s">
        <v>332</v>
      </c>
    </row>
    <row r="213" spans="1:5" x14ac:dyDescent="0.25">
      <c r="A213" s="1">
        <v>45658</v>
      </c>
      <c r="B213" s="2" t="s">
        <v>5</v>
      </c>
      <c r="C213" s="2" t="s">
        <v>156</v>
      </c>
      <c r="D213" s="7" t="s">
        <v>45</v>
      </c>
      <c r="E213" s="7" t="s">
        <v>333</v>
      </c>
    </row>
    <row r="214" spans="1:5" x14ac:dyDescent="0.25">
      <c r="A214" s="1">
        <v>45658</v>
      </c>
      <c r="B214" s="2" t="s">
        <v>5</v>
      </c>
      <c r="C214" s="2" t="s">
        <v>158</v>
      </c>
      <c r="D214" s="7" t="s">
        <v>46</v>
      </c>
      <c r="E214" s="7" t="s">
        <v>159</v>
      </c>
    </row>
    <row r="215" spans="1:5" x14ac:dyDescent="0.25">
      <c r="A215" s="1">
        <v>45658</v>
      </c>
      <c r="B215" s="2" t="s">
        <v>5</v>
      </c>
      <c r="C215" s="2" t="s">
        <v>160</v>
      </c>
      <c r="D215" s="7" t="s">
        <v>47</v>
      </c>
      <c r="E215" s="7" t="s">
        <v>161</v>
      </c>
    </row>
    <row r="216" spans="1:5" x14ac:dyDescent="0.25">
      <c r="A216" s="1">
        <v>45658</v>
      </c>
      <c r="B216" s="2" t="s">
        <v>5</v>
      </c>
      <c r="C216" s="2" t="s">
        <v>162</v>
      </c>
      <c r="D216" s="7" t="s">
        <v>48</v>
      </c>
      <c r="E216" s="7" t="s">
        <v>334</v>
      </c>
    </row>
    <row r="217" spans="1:5" x14ac:dyDescent="0.25">
      <c r="A217" s="1">
        <v>45658</v>
      </c>
      <c r="B217" s="2" t="s">
        <v>5</v>
      </c>
      <c r="C217" s="2" t="s">
        <v>164</v>
      </c>
      <c r="D217" s="7" t="s">
        <v>49</v>
      </c>
      <c r="E217" s="7" t="s">
        <v>335</v>
      </c>
    </row>
    <row r="218" spans="1:5" x14ac:dyDescent="0.25">
      <c r="A218" s="1">
        <v>45658</v>
      </c>
      <c r="B218" s="2" t="s">
        <v>50</v>
      </c>
      <c r="C218" s="2" t="s">
        <v>88</v>
      </c>
      <c r="D218" s="7" t="s">
        <v>6</v>
      </c>
      <c r="E218" s="7" t="s">
        <v>336</v>
      </c>
    </row>
    <row r="219" spans="1:5" x14ac:dyDescent="0.25">
      <c r="A219" s="1">
        <v>45658</v>
      </c>
      <c r="B219" s="2" t="s">
        <v>50</v>
      </c>
      <c r="C219" s="2" t="s">
        <v>90</v>
      </c>
      <c r="D219" s="7" t="s">
        <v>51</v>
      </c>
      <c r="E219" s="7" t="s">
        <v>337</v>
      </c>
    </row>
    <row r="220" spans="1:5" x14ac:dyDescent="0.25">
      <c r="A220" s="1">
        <v>45658</v>
      </c>
      <c r="B220" s="2" t="s">
        <v>50</v>
      </c>
      <c r="C220" s="2" t="s">
        <v>92</v>
      </c>
      <c r="D220" s="7" t="s">
        <v>52</v>
      </c>
      <c r="E220" s="7" t="s">
        <v>338</v>
      </c>
    </row>
    <row r="221" spans="1:5" x14ac:dyDescent="0.25">
      <c r="A221" s="1">
        <v>45658</v>
      </c>
      <c r="B221" s="2" t="s">
        <v>50</v>
      </c>
      <c r="C221" s="2" t="s">
        <v>96</v>
      </c>
      <c r="D221" s="7" t="s">
        <v>53</v>
      </c>
      <c r="E221" s="7" t="s">
        <v>336</v>
      </c>
    </row>
    <row r="222" spans="1:5" x14ac:dyDescent="0.25">
      <c r="A222" s="1">
        <v>45658</v>
      </c>
      <c r="B222" s="2" t="s">
        <v>50</v>
      </c>
      <c r="C222" s="2" t="s">
        <v>98</v>
      </c>
      <c r="D222" s="7" t="s">
        <v>54</v>
      </c>
      <c r="E222" s="7" t="s">
        <v>339</v>
      </c>
    </row>
    <row r="223" spans="1:5" x14ac:dyDescent="0.25">
      <c r="A223" s="1">
        <v>45658</v>
      </c>
      <c r="B223" s="2" t="s">
        <v>50</v>
      </c>
      <c r="C223" s="2" t="s">
        <v>100</v>
      </c>
      <c r="D223" s="7" t="s">
        <v>55</v>
      </c>
      <c r="E223" s="7" t="s">
        <v>340</v>
      </c>
    </row>
    <row r="224" spans="1:5" x14ac:dyDescent="0.25">
      <c r="A224" s="1">
        <v>45658</v>
      </c>
      <c r="B224" s="2" t="s">
        <v>50</v>
      </c>
      <c r="C224" s="2" t="s">
        <v>102</v>
      </c>
      <c r="D224" s="7" t="s">
        <v>56</v>
      </c>
      <c r="E224" s="7" t="s">
        <v>340</v>
      </c>
    </row>
    <row r="225" spans="1:5" x14ac:dyDescent="0.25">
      <c r="A225" s="1">
        <v>45658</v>
      </c>
      <c r="B225" s="2" t="s">
        <v>50</v>
      </c>
      <c r="C225" s="2" t="s">
        <v>106</v>
      </c>
      <c r="D225" s="7" t="s">
        <v>57</v>
      </c>
      <c r="E225" s="7" t="s">
        <v>340</v>
      </c>
    </row>
    <row r="226" spans="1:5" x14ac:dyDescent="0.25">
      <c r="A226" s="1">
        <v>45658</v>
      </c>
      <c r="B226" s="2" t="s">
        <v>50</v>
      </c>
      <c r="C226" s="2" t="s">
        <v>142</v>
      </c>
      <c r="D226" s="7" t="s">
        <v>58</v>
      </c>
      <c r="E226" s="7" t="s">
        <v>341</v>
      </c>
    </row>
    <row r="227" spans="1:5" x14ac:dyDescent="0.25">
      <c r="A227" s="1">
        <v>45658</v>
      </c>
      <c r="B227" s="2" t="s">
        <v>50</v>
      </c>
      <c r="C227" s="2" t="s">
        <v>172</v>
      </c>
      <c r="D227" s="7" t="s">
        <v>59</v>
      </c>
      <c r="E227" s="7" t="s">
        <v>342</v>
      </c>
    </row>
    <row r="228" spans="1:5" x14ac:dyDescent="0.25">
      <c r="A228" s="1">
        <v>45658</v>
      </c>
      <c r="B228" s="2" t="s">
        <v>50</v>
      </c>
      <c r="C228" s="2" t="s">
        <v>174</v>
      </c>
      <c r="D228" s="7" t="s">
        <v>60</v>
      </c>
      <c r="E228" s="7" t="s">
        <v>343</v>
      </c>
    </row>
    <row r="229" spans="1:5" x14ac:dyDescent="0.25">
      <c r="A229" s="1">
        <v>45658</v>
      </c>
      <c r="B229" s="2" t="s">
        <v>50</v>
      </c>
      <c r="C229" s="2" t="s">
        <v>176</v>
      </c>
      <c r="D229" s="7" t="s">
        <v>61</v>
      </c>
      <c r="E229" s="7" t="s">
        <v>344</v>
      </c>
    </row>
    <row r="230" spans="1:5" x14ac:dyDescent="0.25">
      <c r="A230" s="1">
        <v>45658</v>
      </c>
      <c r="B230" s="2" t="s">
        <v>50</v>
      </c>
      <c r="C230" s="2" t="s">
        <v>178</v>
      </c>
      <c r="D230" s="7" t="s">
        <v>62</v>
      </c>
      <c r="E230" s="7" t="s">
        <v>345</v>
      </c>
    </row>
    <row r="231" spans="1:5" x14ac:dyDescent="0.25">
      <c r="A231" s="1">
        <v>45658</v>
      </c>
      <c r="B231" s="2" t="s">
        <v>50</v>
      </c>
      <c r="C231" s="2" t="s">
        <v>180</v>
      </c>
      <c r="D231" s="7" t="s">
        <v>63</v>
      </c>
      <c r="E231" s="7" t="s">
        <v>346</v>
      </c>
    </row>
    <row r="232" spans="1:5" x14ac:dyDescent="0.25">
      <c r="A232" s="1">
        <v>45658</v>
      </c>
      <c r="B232" s="2" t="s">
        <v>50</v>
      </c>
      <c r="C232" s="2" t="s">
        <v>182</v>
      </c>
      <c r="D232" s="7" t="s">
        <v>64</v>
      </c>
      <c r="E232" s="7" t="s">
        <v>347</v>
      </c>
    </row>
    <row r="233" spans="1:5" x14ac:dyDescent="0.25">
      <c r="A233" s="1">
        <v>45658</v>
      </c>
      <c r="B233" s="2" t="s">
        <v>50</v>
      </c>
      <c r="C233" s="2" t="s">
        <v>184</v>
      </c>
      <c r="D233" s="7" t="s">
        <v>65</v>
      </c>
      <c r="E233" s="7" t="s">
        <v>348</v>
      </c>
    </row>
    <row r="234" spans="1:5" x14ac:dyDescent="0.25">
      <c r="A234" s="1">
        <v>45658</v>
      </c>
      <c r="B234" s="2" t="s">
        <v>50</v>
      </c>
      <c r="C234" s="2" t="s">
        <v>186</v>
      </c>
      <c r="D234" s="7" t="s">
        <v>66</v>
      </c>
      <c r="E234" s="7" t="s">
        <v>349</v>
      </c>
    </row>
    <row r="235" spans="1:5" x14ac:dyDescent="0.25">
      <c r="A235" s="1">
        <v>45658</v>
      </c>
      <c r="B235" s="2" t="s">
        <v>50</v>
      </c>
      <c r="C235" s="2" t="s">
        <v>188</v>
      </c>
      <c r="D235" s="7" t="s">
        <v>67</v>
      </c>
      <c r="E235" s="7" t="s">
        <v>350</v>
      </c>
    </row>
    <row r="236" spans="1:5" x14ac:dyDescent="0.25">
      <c r="A236" s="1">
        <v>45658</v>
      </c>
      <c r="B236" s="2" t="s">
        <v>50</v>
      </c>
      <c r="C236" s="2" t="s">
        <v>190</v>
      </c>
      <c r="D236" s="7" t="s">
        <v>68</v>
      </c>
      <c r="E236" s="7" t="s">
        <v>351</v>
      </c>
    </row>
    <row r="237" spans="1:5" x14ac:dyDescent="0.25">
      <c r="A237" s="1">
        <v>45658</v>
      </c>
      <c r="B237" s="2" t="s">
        <v>50</v>
      </c>
      <c r="C237" s="2" t="s">
        <v>192</v>
      </c>
      <c r="D237" s="7" t="s">
        <v>69</v>
      </c>
      <c r="E237" s="7" t="s">
        <v>352</v>
      </c>
    </row>
    <row r="238" spans="1:5" x14ac:dyDescent="0.25">
      <c r="A238" s="1">
        <v>45658</v>
      </c>
      <c r="B238" s="2" t="s">
        <v>50</v>
      </c>
      <c r="C238" s="2" t="s">
        <v>194</v>
      </c>
      <c r="D238" s="7" t="s">
        <v>70</v>
      </c>
      <c r="E238" s="7" t="s">
        <v>353</v>
      </c>
    </row>
    <row r="239" spans="1:5" x14ac:dyDescent="0.25">
      <c r="A239" s="1">
        <v>45658</v>
      </c>
      <c r="B239" s="2" t="s">
        <v>50</v>
      </c>
      <c r="C239" s="2" t="s">
        <v>196</v>
      </c>
      <c r="D239" s="7" t="s">
        <v>71</v>
      </c>
      <c r="E239" s="7" t="s">
        <v>354</v>
      </c>
    </row>
    <row r="240" spans="1:5" x14ac:dyDescent="0.25">
      <c r="A240" s="1">
        <v>45658</v>
      </c>
      <c r="B240" s="2" t="s">
        <v>50</v>
      </c>
      <c r="C240" s="2" t="s">
        <v>198</v>
      </c>
      <c r="D240" s="7" t="s">
        <v>72</v>
      </c>
      <c r="E240" s="7" t="s">
        <v>355</v>
      </c>
    </row>
    <row r="241" spans="1:5" x14ac:dyDescent="0.25">
      <c r="A241" s="1">
        <v>45658</v>
      </c>
      <c r="B241" s="2" t="s">
        <v>50</v>
      </c>
      <c r="C241" s="2" t="s">
        <v>200</v>
      </c>
      <c r="D241" s="7" t="s">
        <v>73</v>
      </c>
      <c r="E241" s="7" t="s">
        <v>356</v>
      </c>
    </row>
    <row r="242" spans="1:5" x14ac:dyDescent="0.25">
      <c r="A242" s="1">
        <v>45658</v>
      </c>
      <c r="B242" s="2" t="s">
        <v>50</v>
      </c>
      <c r="C242" s="2" t="s">
        <v>202</v>
      </c>
      <c r="D242" s="7" t="s">
        <v>74</v>
      </c>
      <c r="E242" s="7" t="s">
        <v>357</v>
      </c>
    </row>
    <row r="243" spans="1:5" x14ac:dyDescent="0.25">
      <c r="A243" s="1">
        <v>45658</v>
      </c>
      <c r="B243" s="2" t="s">
        <v>50</v>
      </c>
      <c r="C243" s="2" t="s">
        <v>204</v>
      </c>
      <c r="D243" s="7" t="s">
        <v>75</v>
      </c>
      <c r="E243" s="7" t="s">
        <v>358</v>
      </c>
    </row>
    <row r="244" spans="1:5" x14ac:dyDescent="0.25">
      <c r="A244" s="1">
        <v>45658</v>
      </c>
      <c r="B244" s="2" t="s">
        <v>50</v>
      </c>
      <c r="C244" s="2" t="s">
        <v>206</v>
      </c>
      <c r="D244" s="7" t="s">
        <v>76</v>
      </c>
      <c r="E244" s="7" t="s">
        <v>359</v>
      </c>
    </row>
    <row r="245" spans="1:5" x14ac:dyDescent="0.25">
      <c r="A245" s="1">
        <v>45658</v>
      </c>
      <c r="B245" s="2" t="s">
        <v>50</v>
      </c>
      <c r="C245" s="2" t="s">
        <v>138</v>
      </c>
      <c r="D245" s="7" t="s">
        <v>77</v>
      </c>
      <c r="E245" s="7" t="s">
        <v>360</v>
      </c>
    </row>
    <row r="246" spans="1:5" x14ac:dyDescent="0.25">
      <c r="A246" s="1">
        <v>45658</v>
      </c>
      <c r="B246" s="2" t="s">
        <v>50</v>
      </c>
      <c r="C246" s="2" t="s">
        <v>146</v>
      </c>
      <c r="D246" s="7" t="s">
        <v>78</v>
      </c>
      <c r="E246" s="7" t="s">
        <v>209</v>
      </c>
    </row>
    <row r="247" spans="1:5" x14ac:dyDescent="0.25">
      <c r="A247" s="1">
        <v>45658</v>
      </c>
      <c r="B247" s="2" t="s">
        <v>50</v>
      </c>
      <c r="C247" s="2" t="s">
        <v>143</v>
      </c>
      <c r="D247" s="7" t="s">
        <v>79</v>
      </c>
      <c r="E247" s="7" t="s">
        <v>361</v>
      </c>
    </row>
    <row r="248" spans="1:5" x14ac:dyDescent="0.25">
      <c r="A248" s="1">
        <v>45658</v>
      </c>
      <c r="B248" s="2" t="s">
        <v>50</v>
      </c>
      <c r="C248" s="2" t="s">
        <v>144</v>
      </c>
      <c r="D248" s="7" t="s">
        <v>80</v>
      </c>
      <c r="E248" s="7" t="s">
        <v>362</v>
      </c>
    </row>
    <row r="249" spans="1:5" x14ac:dyDescent="0.25">
      <c r="A249" s="1">
        <v>45658</v>
      </c>
      <c r="B249" s="2" t="s">
        <v>50</v>
      </c>
      <c r="C249" s="2" t="s">
        <v>140</v>
      </c>
      <c r="D249" s="7" t="s">
        <v>81</v>
      </c>
      <c r="E249" s="7" t="s">
        <v>363</v>
      </c>
    </row>
    <row r="250" spans="1:5" x14ac:dyDescent="0.25">
      <c r="A250" s="1">
        <v>45658</v>
      </c>
      <c r="B250" s="2" t="s">
        <v>50</v>
      </c>
      <c r="C250" s="2" t="s">
        <v>148</v>
      </c>
      <c r="D250" s="7" t="s">
        <v>82</v>
      </c>
      <c r="E250" s="7" t="s">
        <v>364</v>
      </c>
    </row>
    <row r="251" spans="1:5" x14ac:dyDescent="0.25">
      <c r="A251" s="1">
        <v>45658</v>
      </c>
      <c r="B251" s="2" t="s">
        <v>50</v>
      </c>
      <c r="C251" s="2" t="s">
        <v>150</v>
      </c>
      <c r="D251" s="7" t="s">
        <v>83</v>
      </c>
      <c r="E251" s="7" t="s">
        <v>365</v>
      </c>
    </row>
    <row r="252" spans="1:5" x14ac:dyDescent="0.25">
      <c r="A252" s="1">
        <v>45658</v>
      </c>
      <c r="B252" s="2" t="s">
        <v>50</v>
      </c>
      <c r="C252" s="2" t="s">
        <v>215</v>
      </c>
      <c r="D252" s="7" t="s">
        <v>84</v>
      </c>
      <c r="E252" s="7" t="s">
        <v>365</v>
      </c>
    </row>
    <row r="253" spans="1:5" x14ac:dyDescent="0.25">
      <c r="A253" s="1">
        <v>45658</v>
      </c>
      <c r="B253" s="2" t="s">
        <v>50</v>
      </c>
      <c r="C253" s="2" t="s">
        <v>162</v>
      </c>
      <c r="D253" s="7" t="s">
        <v>85</v>
      </c>
      <c r="E253" s="7" t="s">
        <v>366</v>
      </c>
    </row>
    <row r="254" spans="1:5" x14ac:dyDescent="0.25">
      <c r="A254" s="1">
        <v>45658</v>
      </c>
      <c r="B254" s="2" t="s">
        <v>50</v>
      </c>
      <c r="C254" s="2" t="s">
        <v>164</v>
      </c>
      <c r="D254" s="7" t="s">
        <v>49</v>
      </c>
      <c r="E254" s="7" t="s">
        <v>367</v>
      </c>
    </row>
    <row r="255" spans="1:5" x14ac:dyDescent="0.25">
      <c r="A255" s="1">
        <v>45658</v>
      </c>
      <c r="B255" s="2" t="s">
        <v>50</v>
      </c>
      <c r="C255" s="2" t="s">
        <v>218</v>
      </c>
      <c r="D255" s="7" t="s">
        <v>86</v>
      </c>
      <c r="E255" s="7" t="s">
        <v>368</v>
      </c>
    </row>
    <row r="256" spans="1:5" x14ac:dyDescent="0.25">
      <c r="A256" s="1">
        <v>45658</v>
      </c>
      <c r="B256" s="2" t="s">
        <v>50</v>
      </c>
      <c r="C256" s="2" t="s">
        <v>154</v>
      </c>
      <c r="D256" s="7" t="s">
        <v>44</v>
      </c>
      <c r="E256" s="7" t="s">
        <v>332</v>
      </c>
    </row>
    <row r="257" spans="1:5" x14ac:dyDescent="0.25">
      <c r="A257" s="1">
        <v>45658</v>
      </c>
      <c r="B257" s="2" t="s">
        <v>50</v>
      </c>
      <c r="C257" s="2" t="s">
        <v>156</v>
      </c>
      <c r="D257" s="7" t="s">
        <v>45</v>
      </c>
      <c r="E257" s="7" t="s">
        <v>333</v>
      </c>
    </row>
    <row r="258" spans="1:5" x14ac:dyDescent="0.25">
      <c r="A258" s="1">
        <v>45658</v>
      </c>
      <c r="B258" s="2" t="s">
        <v>50</v>
      </c>
      <c r="C258" s="2" t="s">
        <v>158</v>
      </c>
      <c r="D258" s="7" t="s">
        <v>46</v>
      </c>
      <c r="E258" s="7" t="s">
        <v>159</v>
      </c>
    </row>
    <row r="259" spans="1:5" x14ac:dyDescent="0.25">
      <c r="A259" s="1">
        <v>45658</v>
      </c>
      <c r="B259" s="2" t="s">
        <v>50</v>
      </c>
      <c r="C259" s="2" t="s">
        <v>160</v>
      </c>
      <c r="D259" s="7" t="s">
        <v>47</v>
      </c>
      <c r="E259" s="7" t="s">
        <v>161</v>
      </c>
    </row>
    <row r="260" spans="1:5" x14ac:dyDescent="0.25">
      <c r="A260" s="1">
        <v>45566</v>
      </c>
      <c r="B260" s="2" t="s">
        <v>5</v>
      </c>
      <c r="C260" s="2" t="s">
        <v>88</v>
      </c>
      <c r="D260" s="7" t="s">
        <v>6</v>
      </c>
      <c r="E260" s="7" t="s">
        <v>303</v>
      </c>
    </row>
    <row r="261" spans="1:5" x14ac:dyDescent="0.25">
      <c r="A261" s="1">
        <v>45566</v>
      </c>
      <c r="B261" s="2" t="s">
        <v>5</v>
      </c>
      <c r="C261" s="2" t="s">
        <v>90</v>
      </c>
      <c r="D261" s="7" t="s">
        <v>7</v>
      </c>
      <c r="E261" s="7" t="s">
        <v>304</v>
      </c>
    </row>
    <row r="262" spans="1:5" x14ac:dyDescent="0.25">
      <c r="A262" s="1">
        <v>45566</v>
      </c>
      <c r="B262" s="2" t="s">
        <v>5</v>
      </c>
      <c r="C262" s="2" t="s">
        <v>92</v>
      </c>
      <c r="D262" s="7" t="s">
        <v>8</v>
      </c>
      <c r="E262" s="7" t="s">
        <v>305</v>
      </c>
    </row>
    <row r="263" spans="1:5" x14ac:dyDescent="0.25">
      <c r="A263" s="1">
        <v>45566</v>
      </c>
      <c r="B263" s="2" t="s">
        <v>5</v>
      </c>
      <c r="C263" s="2" t="s">
        <v>94</v>
      </c>
      <c r="D263" s="7" t="s">
        <v>9</v>
      </c>
      <c r="E263" s="7" t="s">
        <v>306</v>
      </c>
    </row>
    <row r="264" spans="1:5" x14ac:dyDescent="0.25">
      <c r="A264" s="1">
        <v>45566</v>
      </c>
      <c r="B264" s="2" t="s">
        <v>5</v>
      </c>
      <c r="C264" s="2" t="s">
        <v>96</v>
      </c>
      <c r="D264" s="7" t="s">
        <v>10</v>
      </c>
      <c r="E264" s="7" t="s">
        <v>307</v>
      </c>
    </row>
    <row r="265" spans="1:5" x14ac:dyDescent="0.25">
      <c r="A265" s="1">
        <v>45566</v>
      </c>
      <c r="B265" s="2" t="s">
        <v>5</v>
      </c>
      <c r="C265" s="2" t="s">
        <v>98</v>
      </c>
      <c r="D265" s="7" t="s">
        <v>11</v>
      </c>
      <c r="E265" s="7" t="s">
        <v>308</v>
      </c>
    </row>
    <row r="266" spans="1:5" x14ac:dyDescent="0.25">
      <c r="A266" s="1">
        <v>45566</v>
      </c>
      <c r="B266" s="2" t="s">
        <v>5</v>
      </c>
      <c r="C266" s="2" t="s">
        <v>100</v>
      </c>
      <c r="D266" s="7" t="s">
        <v>12</v>
      </c>
      <c r="E266" s="7" t="s">
        <v>309</v>
      </c>
    </row>
    <row r="267" spans="1:5" x14ac:dyDescent="0.25">
      <c r="A267" s="1">
        <v>45566</v>
      </c>
      <c r="B267" s="2" t="s">
        <v>5</v>
      </c>
      <c r="C267" s="2" t="s">
        <v>102</v>
      </c>
      <c r="D267" s="7" t="s">
        <v>13</v>
      </c>
      <c r="E267" s="7" t="s">
        <v>310</v>
      </c>
    </row>
    <row r="268" spans="1:5" x14ac:dyDescent="0.25">
      <c r="A268" s="1">
        <v>45566</v>
      </c>
      <c r="B268" s="2" t="s">
        <v>5</v>
      </c>
      <c r="C268" s="2" t="s">
        <v>104</v>
      </c>
      <c r="D268" s="7" t="s">
        <v>14</v>
      </c>
      <c r="E268" s="7" t="s">
        <v>311</v>
      </c>
    </row>
    <row r="269" spans="1:5" x14ac:dyDescent="0.25">
      <c r="A269" s="1">
        <v>45566</v>
      </c>
      <c r="B269" s="2" t="s">
        <v>5</v>
      </c>
      <c r="C269" s="2" t="s">
        <v>106</v>
      </c>
      <c r="D269" s="7" t="s">
        <v>15</v>
      </c>
      <c r="E269" s="7" t="s">
        <v>312</v>
      </c>
    </row>
    <row r="270" spans="1:5" x14ac:dyDescent="0.25">
      <c r="A270" s="1">
        <v>45566</v>
      </c>
      <c r="B270" s="2" t="s">
        <v>5</v>
      </c>
      <c r="C270" s="2" t="s">
        <v>108</v>
      </c>
      <c r="D270" s="7" t="s">
        <v>16</v>
      </c>
      <c r="E270" s="7" t="s">
        <v>313</v>
      </c>
    </row>
    <row r="271" spans="1:5" x14ac:dyDescent="0.25">
      <c r="A271" s="1">
        <v>45566</v>
      </c>
      <c r="B271" s="2" t="s">
        <v>5</v>
      </c>
      <c r="C271" s="2" t="s">
        <v>110</v>
      </c>
      <c r="D271" s="7" t="s">
        <v>17</v>
      </c>
      <c r="E271" s="7" t="s">
        <v>314</v>
      </c>
    </row>
    <row r="272" spans="1:5" x14ac:dyDescent="0.25">
      <c r="A272" s="1">
        <v>45566</v>
      </c>
      <c r="B272" s="2" t="s">
        <v>5</v>
      </c>
      <c r="C272" s="2" t="s">
        <v>87</v>
      </c>
      <c r="D272" s="7" t="s">
        <v>18</v>
      </c>
      <c r="E272" s="7" t="s">
        <v>315</v>
      </c>
    </row>
    <row r="273" spans="1:5" x14ac:dyDescent="0.25">
      <c r="A273" s="1">
        <v>45566</v>
      </c>
      <c r="B273" s="2" t="s">
        <v>5</v>
      </c>
      <c r="C273" s="2" t="s">
        <v>113</v>
      </c>
      <c r="D273" s="7" t="s">
        <v>19</v>
      </c>
      <c r="E273" s="7" t="s">
        <v>316</v>
      </c>
    </row>
    <row r="274" spans="1:5" x14ac:dyDescent="0.25">
      <c r="A274" s="1">
        <v>45566</v>
      </c>
      <c r="B274" s="2" t="s">
        <v>5</v>
      </c>
      <c r="C274" s="2" t="s">
        <v>115</v>
      </c>
      <c r="D274" s="7" t="s">
        <v>20</v>
      </c>
      <c r="E274" s="7" t="s">
        <v>317</v>
      </c>
    </row>
    <row r="275" spans="1:5" x14ac:dyDescent="0.25">
      <c r="A275" s="1">
        <v>45566</v>
      </c>
      <c r="B275" s="2" t="s">
        <v>5</v>
      </c>
      <c r="C275" s="2" t="s">
        <v>117</v>
      </c>
      <c r="D275" s="7" t="s">
        <v>21</v>
      </c>
      <c r="E275" s="7" t="s">
        <v>318</v>
      </c>
    </row>
    <row r="276" spans="1:5" x14ac:dyDescent="0.25">
      <c r="A276" s="1">
        <v>45566</v>
      </c>
      <c r="B276" s="2" t="s">
        <v>5</v>
      </c>
      <c r="C276" s="2" t="s">
        <v>119</v>
      </c>
      <c r="D276" s="7" t="s">
        <v>22</v>
      </c>
      <c r="E276" s="7" t="s">
        <v>319</v>
      </c>
    </row>
    <row r="277" spans="1:5" x14ac:dyDescent="0.25">
      <c r="A277" s="1">
        <v>45566</v>
      </c>
      <c r="B277" s="2" t="s">
        <v>5</v>
      </c>
      <c r="C277" s="2" t="s">
        <v>121</v>
      </c>
      <c r="D277" s="7" t="s">
        <v>23</v>
      </c>
      <c r="E277" s="7" t="s">
        <v>320</v>
      </c>
    </row>
    <row r="278" spans="1:5" x14ac:dyDescent="0.25">
      <c r="A278" s="1">
        <v>45566</v>
      </c>
      <c r="B278" s="2" t="s">
        <v>5</v>
      </c>
      <c r="C278" s="2" t="s">
        <v>123</v>
      </c>
      <c r="D278" s="7" t="s">
        <v>24</v>
      </c>
      <c r="E278" s="7" t="s">
        <v>321</v>
      </c>
    </row>
    <row r="279" spans="1:5" x14ac:dyDescent="0.25">
      <c r="A279" s="1">
        <v>45566</v>
      </c>
      <c r="B279" s="2" t="s">
        <v>5</v>
      </c>
      <c r="C279" s="2" t="s">
        <v>125</v>
      </c>
      <c r="D279" s="7" t="s">
        <v>25</v>
      </c>
      <c r="E279" s="7" t="s">
        <v>322</v>
      </c>
    </row>
    <row r="280" spans="1:5" x14ac:dyDescent="0.25">
      <c r="A280" s="1">
        <v>45566</v>
      </c>
      <c r="B280" s="2" t="s">
        <v>5</v>
      </c>
      <c r="C280" s="2" t="s">
        <v>127</v>
      </c>
      <c r="D280" s="7" t="s">
        <v>26</v>
      </c>
      <c r="E280" s="7" t="s">
        <v>323</v>
      </c>
    </row>
    <row r="281" spans="1:5" x14ac:dyDescent="0.25">
      <c r="A281" s="1">
        <v>45566</v>
      </c>
      <c r="B281" s="2" t="s">
        <v>5</v>
      </c>
      <c r="C281" s="2" t="s">
        <v>129</v>
      </c>
      <c r="D281" s="7" t="s">
        <v>27</v>
      </c>
      <c r="E281" s="7" t="s">
        <v>324</v>
      </c>
    </row>
    <row r="282" spans="1:5" x14ac:dyDescent="0.25">
      <c r="A282" s="1">
        <v>45566</v>
      </c>
      <c r="B282" s="2" t="s">
        <v>5</v>
      </c>
      <c r="C282" s="2" t="s">
        <v>131</v>
      </c>
      <c r="D282" s="7" t="s">
        <v>28</v>
      </c>
      <c r="E282" s="7" t="s">
        <v>325</v>
      </c>
    </row>
    <row r="283" spans="1:5" x14ac:dyDescent="0.25">
      <c r="A283" s="1">
        <v>45566</v>
      </c>
      <c r="B283" s="2" t="s">
        <v>5</v>
      </c>
      <c r="C283" s="2" t="s">
        <v>133</v>
      </c>
      <c r="D283" s="7" t="s">
        <v>29</v>
      </c>
      <c r="E283" s="7" t="s">
        <v>321</v>
      </c>
    </row>
    <row r="284" spans="1:5" x14ac:dyDescent="0.25">
      <c r="A284" s="1">
        <v>45566</v>
      </c>
      <c r="B284" s="2" t="s">
        <v>5</v>
      </c>
      <c r="C284" s="2" t="s">
        <v>134</v>
      </c>
      <c r="D284" s="7" t="s">
        <v>30</v>
      </c>
      <c r="E284" s="7" t="s">
        <v>322</v>
      </c>
    </row>
    <row r="285" spans="1:5" x14ac:dyDescent="0.25">
      <c r="A285" s="1">
        <v>45566</v>
      </c>
      <c r="B285" s="2" t="s">
        <v>5</v>
      </c>
      <c r="C285" s="2" t="s">
        <v>135</v>
      </c>
      <c r="D285" s="7" t="s">
        <v>31</v>
      </c>
      <c r="E285" s="7" t="s">
        <v>323</v>
      </c>
    </row>
    <row r="286" spans="1:5" x14ac:dyDescent="0.25">
      <c r="A286" s="1">
        <v>45566</v>
      </c>
      <c r="B286" s="2" t="s">
        <v>5</v>
      </c>
      <c r="C286" s="2" t="s">
        <v>136</v>
      </c>
      <c r="D286" s="7" t="s">
        <v>32</v>
      </c>
      <c r="E286" s="7" t="s">
        <v>324</v>
      </c>
    </row>
    <row r="287" spans="1:5" x14ac:dyDescent="0.25">
      <c r="A287" s="1">
        <v>45566</v>
      </c>
      <c r="B287" s="2" t="s">
        <v>5</v>
      </c>
      <c r="C287" s="2" t="s">
        <v>137</v>
      </c>
      <c r="D287" s="7" t="s">
        <v>33</v>
      </c>
      <c r="E287" s="7" t="s">
        <v>325</v>
      </c>
    </row>
    <row r="288" spans="1:5" x14ac:dyDescent="0.25">
      <c r="A288" s="1">
        <v>45566</v>
      </c>
      <c r="B288" s="2" t="s">
        <v>5</v>
      </c>
      <c r="C288" s="2" t="s">
        <v>138</v>
      </c>
      <c r="D288" s="7" t="s">
        <v>34</v>
      </c>
      <c r="E288" s="7" t="s">
        <v>326</v>
      </c>
    </row>
    <row r="289" spans="1:5" x14ac:dyDescent="0.25">
      <c r="A289" s="1">
        <v>45566</v>
      </c>
      <c r="B289" s="2" t="s">
        <v>5</v>
      </c>
      <c r="C289" s="2" t="s">
        <v>140</v>
      </c>
      <c r="D289" s="7" t="s">
        <v>35</v>
      </c>
      <c r="E289" s="7" t="s">
        <v>327</v>
      </c>
    </row>
    <row r="290" spans="1:5" x14ac:dyDescent="0.25">
      <c r="A290" s="1">
        <v>45566</v>
      </c>
      <c r="B290" s="2" t="s">
        <v>5</v>
      </c>
      <c r="C290" s="2" t="s">
        <v>142</v>
      </c>
      <c r="D290" s="7" t="s">
        <v>36</v>
      </c>
      <c r="E290" s="7" t="s">
        <v>309</v>
      </c>
    </row>
    <row r="291" spans="1:5" x14ac:dyDescent="0.25">
      <c r="A291" s="1">
        <v>45566</v>
      </c>
      <c r="B291" s="2" t="s">
        <v>5</v>
      </c>
      <c r="C291" s="2" t="s">
        <v>143</v>
      </c>
      <c r="D291" s="7" t="s">
        <v>37</v>
      </c>
      <c r="E291" s="7" t="s">
        <v>310</v>
      </c>
    </row>
    <row r="292" spans="1:5" x14ac:dyDescent="0.25">
      <c r="A292" s="1">
        <v>45566</v>
      </c>
      <c r="B292" s="2" t="s">
        <v>5</v>
      </c>
      <c r="C292" s="2" t="s">
        <v>144</v>
      </c>
      <c r="D292" s="7" t="s">
        <v>38</v>
      </c>
      <c r="E292" s="7" t="s">
        <v>328</v>
      </c>
    </row>
    <row r="293" spans="1:5" x14ac:dyDescent="0.25">
      <c r="A293" s="1">
        <v>45566</v>
      </c>
      <c r="B293" s="2" t="s">
        <v>5</v>
      </c>
      <c r="C293" s="2" t="s">
        <v>146</v>
      </c>
      <c r="D293" s="7" t="s">
        <v>39</v>
      </c>
      <c r="E293" s="7" t="s">
        <v>326</v>
      </c>
    </row>
    <row r="294" spans="1:5" x14ac:dyDescent="0.25">
      <c r="A294" s="1">
        <v>45566</v>
      </c>
      <c r="B294" s="2" t="s">
        <v>5</v>
      </c>
      <c r="C294" s="2" t="s">
        <v>147</v>
      </c>
      <c r="D294" s="7" t="s">
        <v>40</v>
      </c>
      <c r="E294" s="7" t="s">
        <v>327</v>
      </c>
    </row>
    <row r="295" spans="1:5" x14ac:dyDescent="0.25">
      <c r="A295" s="1">
        <v>45566</v>
      </c>
      <c r="B295" s="2" t="s">
        <v>5</v>
      </c>
      <c r="C295" s="2" t="s">
        <v>148</v>
      </c>
      <c r="D295" s="7" t="s">
        <v>41</v>
      </c>
      <c r="E295" s="7" t="s">
        <v>329</v>
      </c>
    </row>
    <row r="296" spans="1:5" x14ac:dyDescent="0.25">
      <c r="A296" s="1">
        <v>45566</v>
      </c>
      <c r="B296" s="2" t="s">
        <v>5</v>
      </c>
      <c r="C296" s="2" t="s">
        <v>150</v>
      </c>
      <c r="D296" s="7" t="s">
        <v>42</v>
      </c>
      <c r="E296" s="7" t="s">
        <v>330</v>
      </c>
    </row>
    <row r="297" spans="1:5" x14ac:dyDescent="0.25">
      <c r="A297" s="1">
        <v>45566</v>
      </c>
      <c r="B297" s="2" t="s">
        <v>5</v>
      </c>
      <c r="C297" s="2" t="s">
        <v>152</v>
      </c>
      <c r="D297" s="7" t="s">
        <v>43</v>
      </c>
      <c r="E297" s="7" t="s">
        <v>331</v>
      </c>
    </row>
    <row r="298" spans="1:5" x14ac:dyDescent="0.25">
      <c r="A298" s="1">
        <v>45566</v>
      </c>
      <c r="B298" s="2" t="s">
        <v>5</v>
      </c>
      <c r="C298" s="2" t="s">
        <v>154</v>
      </c>
      <c r="D298" s="7" t="s">
        <v>44</v>
      </c>
      <c r="E298" s="7" t="s">
        <v>332</v>
      </c>
    </row>
    <row r="299" spans="1:5" x14ac:dyDescent="0.25">
      <c r="A299" s="1">
        <v>45566</v>
      </c>
      <c r="B299" s="2" t="s">
        <v>5</v>
      </c>
      <c r="C299" s="2" t="s">
        <v>156</v>
      </c>
      <c r="D299" s="7" t="s">
        <v>45</v>
      </c>
      <c r="E299" s="7" t="s">
        <v>333</v>
      </c>
    </row>
    <row r="300" spans="1:5" x14ac:dyDescent="0.25">
      <c r="A300" s="1">
        <v>45566</v>
      </c>
      <c r="B300" s="2" t="s">
        <v>5</v>
      </c>
      <c r="C300" s="2" t="s">
        <v>158</v>
      </c>
      <c r="D300" s="7" t="s">
        <v>46</v>
      </c>
      <c r="E300" s="7" t="s">
        <v>369</v>
      </c>
    </row>
    <row r="301" spans="1:5" x14ac:dyDescent="0.25">
      <c r="A301" s="1">
        <v>45566</v>
      </c>
      <c r="B301" s="2" t="s">
        <v>5</v>
      </c>
      <c r="C301" s="2" t="s">
        <v>160</v>
      </c>
      <c r="D301" s="7" t="s">
        <v>47</v>
      </c>
      <c r="E301" s="7" t="s">
        <v>161</v>
      </c>
    </row>
    <row r="302" spans="1:5" x14ac:dyDescent="0.25">
      <c r="A302" s="1">
        <v>45566</v>
      </c>
      <c r="B302" s="2" t="s">
        <v>5</v>
      </c>
      <c r="C302" s="2" t="s">
        <v>162</v>
      </c>
      <c r="D302" s="7" t="s">
        <v>48</v>
      </c>
      <c r="E302" s="7" t="s">
        <v>334</v>
      </c>
    </row>
    <row r="303" spans="1:5" x14ac:dyDescent="0.25">
      <c r="A303" s="1">
        <v>45566</v>
      </c>
      <c r="B303" s="2" t="s">
        <v>5</v>
      </c>
      <c r="C303" s="2" t="s">
        <v>164</v>
      </c>
      <c r="D303" s="7" t="s">
        <v>49</v>
      </c>
      <c r="E303" s="7" t="s">
        <v>335</v>
      </c>
    </row>
    <row r="304" spans="1:5" x14ac:dyDescent="0.25">
      <c r="A304" s="1">
        <v>45566</v>
      </c>
      <c r="B304" s="2" t="s">
        <v>50</v>
      </c>
      <c r="C304" s="2" t="s">
        <v>88</v>
      </c>
      <c r="D304" s="7" t="s">
        <v>6</v>
      </c>
      <c r="E304" s="7" t="s">
        <v>336</v>
      </c>
    </row>
    <row r="305" spans="1:5" x14ac:dyDescent="0.25">
      <c r="A305" s="1">
        <v>45566</v>
      </c>
      <c r="B305" s="2" t="s">
        <v>50</v>
      </c>
      <c r="C305" s="2" t="s">
        <v>90</v>
      </c>
      <c r="D305" s="7" t="s">
        <v>51</v>
      </c>
      <c r="E305" s="7" t="s">
        <v>337</v>
      </c>
    </row>
    <row r="306" spans="1:5" x14ac:dyDescent="0.25">
      <c r="A306" s="1">
        <v>45566</v>
      </c>
      <c r="B306" s="2" t="s">
        <v>50</v>
      </c>
      <c r="C306" s="2" t="s">
        <v>92</v>
      </c>
      <c r="D306" s="7" t="s">
        <v>52</v>
      </c>
      <c r="E306" s="7" t="s">
        <v>338</v>
      </c>
    </row>
    <row r="307" spans="1:5" x14ac:dyDescent="0.25">
      <c r="A307" s="1">
        <v>45566</v>
      </c>
      <c r="B307" s="2" t="s">
        <v>50</v>
      </c>
      <c r="C307" s="2" t="s">
        <v>96</v>
      </c>
      <c r="D307" s="7" t="s">
        <v>53</v>
      </c>
      <c r="E307" s="7" t="s">
        <v>336</v>
      </c>
    </row>
    <row r="308" spans="1:5" x14ac:dyDescent="0.25">
      <c r="A308" s="1">
        <v>45566</v>
      </c>
      <c r="B308" s="2" t="s">
        <v>50</v>
      </c>
      <c r="C308" s="2" t="s">
        <v>98</v>
      </c>
      <c r="D308" s="7" t="s">
        <v>54</v>
      </c>
      <c r="E308" s="7" t="s">
        <v>339</v>
      </c>
    </row>
    <row r="309" spans="1:5" x14ac:dyDescent="0.25">
      <c r="A309" s="1">
        <v>45566</v>
      </c>
      <c r="B309" s="2" t="s">
        <v>50</v>
      </c>
      <c r="C309" s="2" t="s">
        <v>100</v>
      </c>
      <c r="D309" s="7" t="s">
        <v>55</v>
      </c>
      <c r="E309" s="7" t="s">
        <v>340</v>
      </c>
    </row>
    <row r="310" spans="1:5" x14ac:dyDescent="0.25">
      <c r="A310" s="1">
        <v>45566</v>
      </c>
      <c r="B310" s="2" t="s">
        <v>50</v>
      </c>
      <c r="C310" s="2" t="s">
        <v>102</v>
      </c>
      <c r="D310" s="7" t="s">
        <v>56</v>
      </c>
      <c r="E310" s="7" t="s">
        <v>340</v>
      </c>
    </row>
    <row r="311" spans="1:5" x14ac:dyDescent="0.25">
      <c r="A311" s="1">
        <v>45566</v>
      </c>
      <c r="B311" s="2" t="s">
        <v>50</v>
      </c>
      <c r="C311" s="2" t="s">
        <v>106</v>
      </c>
      <c r="D311" s="7" t="s">
        <v>57</v>
      </c>
      <c r="E311" s="7" t="s">
        <v>340</v>
      </c>
    </row>
    <row r="312" spans="1:5" x14ac:dyDescent="0.25">
      <c r="A312" s="1">
        <v>45566</v>
      </c>
      <c r="B312" s="2" t="s">
        <v>50</v>
      </c>
      <c r="C312" s="2" t="s">
        <v>142</v>
      </c>
      <c r="D312" s="7" t="s">
        <v>58</v>
      </c>
      <c r="E312" s="7" t="s">
        <v>341</v>
      </c>
    </row>
    <row r="313" spans="1:5" x14ac:dyDescent="0.25">
      <c r="A313" s="1">
        <v>45566</v>
      </c>
      <c r="B313" s="2" t="s">
        <v>50</v>
      </c>
      <c r="C313" s="2" t="s">
        <v>172</v>
      </c>
      <c r="D313" s="7" t="s">
        <v>59</v>
      </c>
      <c r="E313" s="7" t="s">
        <v>342</v>
      </c>
    </row>
    <row r="314" spans="1:5" x14ac:dyDescent="0.25">
      <c r="A314" s="1">
        <v>45566</v>
      </c>
      <c r="B314" s="2" t="s">
        <v>50</v>
      </c>
      <c r="C314" s="2" t="s">
        <v>174</v>
      </c>
      <c r="D314" s="7" t="s">
        <v>60</v>
      </c>
      <c r="E314" s="7" t="s">
        <v>343</v>
      </c>
    </row>
    <row r="315" spans="1:5" x14ac:dyDescent="0.25">
      <c r="A315" s="1">
        <v>45566</v>
      </c>
      <c r="B315" s="2" t="s">
        <v>50</v>
      </c>
      <c r="C315" s="2" t="s">
        <v>176</v>
      </c>
      <c r="D315" s="7" t="s">
        <v>61</v>
      </c>
      <c r="E315" s="7" t="s">
        <v>344</v>
      </c>
    </row>
    <row r="316" spans="1:5" x14ac:dyDescent="0.25">
      <c r="A316" s="1">
        <v>45566</v>
      </c>
      <c r="B316" s="2" t="s">
        <v>50</v>
      </c>
      <c r="C316" s="2" t="s">
        <v>178</v>
      </c>
      <c r="D316" s="7" t="s">
        <v>62</v>
      </c>
      <c r="E316" s="7" t="s">
        <v>345</v>
      </c>
    </row>
    <row r="317" spans="1:5" x14ac:dyDescent="0.25">
      <c r="A317" s="1">
        <v>45566</v>
      </c>
      <c r="B317" s="2" t="s">
        <v>50</v>
      </c>
      <c r="C317" s="2" t="s">
        <v>180</v>
      </c>
      <c r="D317" s="7" t="s">
        <v>63</v>
      </c>
      <c r="E317" s="7" t="s">
        <v>346</v>
      </c>
    </row>
    <row r="318" spans="1:5" x14ac:dyDescent="0.25">
      <c r="A318" s="1">
        <v>45566</v>
      </c>
      <c r="B318" s="2" t="s">
        <v>50</v>
      </c>
      <c r="C318" s="2" t="s">
        <v>182</v>
      </c>
      <c r="D318" s="7" t="s">
        <v>64</v>
      </c>
      <c r="E318" s="7" t="s">
        <v>347</v>
      </c>
    </row>
    <row r="319" spans="1:5" x14ac:dyDescent="0.25">
      <c r="A319" s="1">
        <v>45566</v>
      </c>
      <c r="B319" s="2" t="s">
        <v>50</v>
      </c>
      <c r="C319" s="2" t="s">
        <v>184</v>
      </c>
      <c r="D319" s="7" t="s">
        <v>65</v>
      </c>
      <c r="E319" s="7" t="s">
        <v>348</v>
      </c>
    </row>
    <row r="320" spans="1:5" x14ac:dyDescent="0.25">
      <c r="A320" s="1">
        <v>45566</v>
      </c>
      <c r="B320" s="2" t="s">
        <v>50</v>
      </c>
      <c r="C320" s="2" t="s">
        <v>186</v>
      </c>
      <c r="D320" s="7" t="s">
        <v>66</v>
      </c>
      <c r="E320" s="7" t="s">
        <v>349</v>
      </c>
    </row>
    <row r="321" spans="1:5" x14ac:dyDescent="0.25">
      <c r="A321" s="1">
        <v>45566</v>
      </c>
      <c r="B321" s="2" t="s">
        <v>50</v>
      </c>
      <c r="C321" s="2" t="s">
        <v>188</v>
      </c>
      <c r="D321" s="7" t="s">
        <v>67</v>
      </c>
      <c r="E321" s="7" t="s">
        <v>350</v>
      </c>
    </row>
    <row r="322" spans="1:5" x14ac:dyDescent="0.25">
      <c r="A322" s="1">
        <v>45566</v>
      </c>
      <c r="B322" s="2" t="s">
        <v>50</v>
      </c>
      <c r="C322" s="2" t="s">
        <v>190</v>
      </c>
      <c r="D322" s="7" t="s">
        <v>68</v>
      </c>
      <c r="E322" s="7" t="s">
        <v>351</v>
      </c>
    </row>
    <row r="323" spans="1:5" x14ac:dyDescent="0.25">
      <c r="A323" s="1">
        <v>45566</v>
      </c>
      <c r="B323" s="2" t="s">
        <v>50</v>
      </c>
      <c r="C323" s="2" t="s">
        <v>192</v>
      </c>
      <c r="D323" s="7" t="s">
        <v>69</v>
      </c>
      <c r="E323" s="7" t="s">
        <v>352</v>
      </c>
    </row>
    <row r="324" spans="1:5" x14ac:dyDescent="0.25">
      <c r="A324" s="1">
        <v>45566</v>
      </c>
      <c r="B324" s="2" t="s">
        <v>50</v>
      </c>
      <c r="C324" s="2" t="s">
        <v>194</v>
      </c>
      <c r="D324" s="7" t="s">
        <v>70</v>
      </c>
      <c r="E324" s="7" t="s">
        <v>353</v>
      </c>
    </row>
    <row r="325" spans="1:5" x14ac:dyDescent="0.25">
      <c r="A325" s="1">
        <v>45566</v>
      </c>
      <c r="B325" s="2" t="s">
        <v>50</v>
      </c>
      <c r="C325" s="2" t="s">
        <v>196</v>
      </c>
      <c r="D325" s="7" t="s">
        <v>71</v>
      </c>
      <c r="E325" s="7" t="s">
        <v>354</v>
      </c>
    </row>
    <row r="326" spans="1:5" x14ac:dyDescent="0.25">
      <c r="A326" s="1">
        <v>45566</v>
      </c>
      <c r="B326" s="2" t="s">
        <v>50</v>
      </c>
      <c r="C326" s="2" t="s">
        <v>198</v>
      </c>
      <c r="D326" s="7" t="s">
        <v>72</v>
      </c>
      <c r="E326" s="7" t="s">
        <v>355</v>
      </c>
    </row>
    <row r="327" spans="1:5" x14ac:dyDescent="0.25">
      <c r="A327" s="1">
        <v>45566</v>
      </c>
      <c r="B327" s="2" t="s">
        <v>50</v>
      </c>
      <c r="C327" s="2" t="s">
        <v>200</v>
      </c>
      <c r="D327" s="7" t="s">
        <v>73</v>
      </c>
      <c r="E327" s="7" t="s">
        <v>356</v>
      </c>
    </row>
    <row r="328" spans="1:5" x14ac:dyDescent="0.25">
      <c r="A328" s="1">
        <v>45566</v>
      </c>
      <c r="B328" s="2" t="s">
        <v>50</v>
      </c>
      <c r="C328" s="2" t="s">
        <v>202</v>
      </c>
      <c r="D328" s="7" t="s">
        <v>74</v>
      </c>
      <c r="E328" s="7" t="s">
        <v>357</v>
      </c>
    </row>
    <row r="329" spans="1:5" x14ac:dyDescent="0.25">
      <c r="A329" s="1">
        <v>45566</v>
      </c>
      <c r="B329" s="2" t="s">
        <v>50</v>
      </c>
      <c r="C329" s="2" t="s">
        <v>204</v>
      </c>
      <c r="D329" s="7" t="s">
        <v>75</v>
      </c>
      <c r="E329" s="7" t="s">
        <v>358</v>
      </c>
    </row>
    <row r="330" spans="1:5" x14ac:dyDescent="0.25">
      <c r="A330" s="1">
        <v>45566</v>
      </c>
      <c r="B330" s="2" t="s">
        <v>50</v>
      </c>
      <c r="C330" s="2" t="s">
        <v>206</v>
      </c>
      <c r="D330" s="7" t="s">
        <v>76</v>
      </c>
      <c r="E330" s="7" t="s">
        <v>359</v>
      </c>
    </row>
    <row r="331" spans="1:5" x14ac:dyDescent="0.25">
      <c r="A331" s="1">
        <v>45566</v>
      </c>
      <c r="B331" s="2" t="s">
        <v>50</v>
      </c>
      <c r="C331" s="2" t="s">
        <v>138</v>
      </c>
      <c r="D331" s="7" t="s">
        <v>77</v>
      </c>
      <c r="E331" s="7" t="s">
        <v>360</v>
      </c>
    </row>
    <row r="332" spans="1:5" x14ac:dyDescent="0.25">
      <c r="A332" s="1">
        <v>45566</v>
      </c>
      <c r="B332" s="2" t="s">
        <v>50</v>
      </c>
      <c r="C332" s="2" t="s">
        <v>146</v>
      </c>
      <c r="D332" s="7" t="s">
        <v>78</v>
      </c>
      <c r="E332" s="7" t="s">
        <v>209</v>
      </c>
    </row>
    <row r="333" spans="1:5" x14ac:dyDescent="0.25">
      <c r="A333" s="1">
        <v>45566</v>
      </c>
      <c r="B333" s="2" t="s">
        <v>50</v>
      </c>
      <c r="C333" s="2" t="s">
        <v>143</v>
      </c>
      <c r="D333" s="7" t="s">
        <v>79</v>
      </c>
      <c r="E333" s="7" t="s">
        <v>361</v>
      </c>
    </row>
    <row r="334" spans="1:5" x14ac:dyDescent="0.25">
      <c r="A334" s="1">
        <v>45566</v>
      </c>
      <c r="B334" s="2" t="s">
        <v>50</v>
      </c>
      <c r="C334" s="2" t="s">
        <v>144</v>
      </c>
      <c r="D334" s="7" t="s">
        <v>80</v>
      </c>
      <c r="E334" s="7" t="s">
        <v>362</v>
      </c>
    </row>
    <row r="335" spans="1:5" x14ac:dyDescent="0.25">
      <c r="A335" s="1">
        <v>45566</v>
      </c>
      <c r="B335" s="2" t="s">
        <v>50</v>
      </c>
      <c r="C335" s="2" t="s">
        <v>140</v>
      </c>
      <c r="D335" s="7" t="s">
        <v>81</v>
      </c>
      <c r="E335" s="7" t="s">
        <v>363</v>
      </c>
    </row>
    <row r="336" spans="1:5" x14ac:dyDescent="0.25">
      <c r="A336" s="1">
        <v>45566</v>
      </c>
      <c r="B336" s="2" t="s">
        <v>50</v>
      </c>
      <c r="C336" s="2" t="s">
        <v>148</v>
      </c>
      <c r="D336" s="7" t="s">
        <v>82</v>
      </c>
      <c r="E336" s="7" t="s">
        <v>364</v>
      </c>
    </row>
    <row r="337" spans="1:5" x14ac:dyDescent="0.25">
      <c r="A337" s="1">
        <v>45566</v>
      </c>
      <c r="B337" s="2" t="s">
        <v>50</v>
      </c>
      <c r="C337" s="2" t="s">
        <v>150</v>
      </c>
      <c r="D337" s="7" t="s">
        <v>83</v>
      </c>
      <c r="E337" s="7" t="s">
        <v>365</v>
      </c>
    </row>
    <row r="338" spans="1:5" x14ac:dyDescent="0.25">
      <c r="A338" s="1">
        <v>45566</v>
      </c>
      <c r="B338" s="2" t="s">
        <v>50</v>
      </c>
      <c r="C338" s="2" t="s">
        <v>215</v>
      </c>
      <c r="D338" s="7" t="s">
        <v>84</v>
      </c>
      <c r="E338" s="7" t="s">
        <v>365</v>
      </c>
    </row>
    <row r="339" spans="1:5" x14ac:dyDescent="0.25">
      <c r="A339" s="1">
        <v>45566</v>
      </c>
      <c r="B339" s="2" t="s">
        <v>50</v>
      </c>
      <c r="C339" s="2" t="s">
        <v>162</v>
      </c>
      <c r="D339" s="7" t="s">
        <v>85</v>
      </c>
      <c r="E339" s="7" t="s">
        <v>366</v>
      </c>
    </row>
    <row r="340" spans="1:5" x14ac:dyDescent="0.25">
      <c r="A340" s="1">
        <v>45566</v>
      </c>
      <c r="B340" s="2" t="s">
        <v>50</v>
      </c>
      <c r="C340" s="2" t="s">
        <v>164</v>
      </c>
      <c r="D340" s="7" t="s">
        <v>49</v>
      </c>
      <c r="E340" s="7" t="s">
        <v>367</v>
      </c>
    </row>
    <row r="341" spans="1:5" x14ac:dyDescent="0.25">
      <c r="A341" s="1">
        <v>45566</v>
      </c>
      <c r="B341" s="2" t="s">
        <v>50</v>
      </c>
      <c r="C341" s="2" t="s">
        <v>218</v>
      </c>
      <c r="D341" s="7" t="s">
        <v>86</v>
      </c>
      <c r="E341" s="7" t="s">
        <v>368</v>
      </c>
    </row>
    <row r="342" spans="1:5" x14ac:dyDescent="0.25">
      <c r="A342" s="1">
        <v>45566</v>
      </c>
      <c r="B342" s="2" t="s">
        <v>50</v>
      </c>
      <c r="C342" s="2" t="s">
        <v>154</v>
      </c>
      <c r="D342" s="7" t="s">
        <v>44</v>
      </c>
      <c r="E342" s="7" t="s">
        <v>332</v>
      </c>
    </row>
    <row r="343" spans="1:5" x14ac:dyDescent="0.25">
      <c r="A343" s="1">
        <v>45566</v>
      </c>
      <c r="B343" s="2" t="s">
        <v>50</v>
      </c>
      <c r="C343" s="2" t="s">
        <v>156</v>
      </c>
      <c r="D343" s="7" t="s">
        <v>45</v>
      </c>
      <c r="E343" s="7" t="s">
        <v>333</v>
      </c>
    </row>
    <row r="344" spans="1:5" x14ac:dyDescent="0.25">
      <c r="A344" s="1">
        <v>45566</v>
      </c>
      <c r="B344" s="2" t="s">
        <v>50</v>
      </c>
      <c r="C344" s="2" t="s">
        <v>158</v>
      </c>
      <c r="D344" s="7" t="s">
        <v>46</v>
      </c>
      <c r="E344" s="7" t="s">
        <v>369</v>
      </c>
    </row>
    <row r="345" spans="1:5" x14ac:dyDescent="0.25">
      <c r="A345" s="1">
        <v>45566</v>
      </c>
      <c r="B345" s="2" t="s">
        <v>50</v>
      </c>
      <c r="C345" s="2" t="s">
        <v>160</v>
      </c>
      <c r="D345" s="7" t="s">
        <v>47</v>
      </c>
      <c r="E345" s="7" t="s">
        <v>161</v>
      </c>
    </row>
    <row r="346" spans="1:5" x14ac:dyDescent="0.25">
      <c r="A346" s="1">
        <v>45383</v>
      </c>
      <c r="B346" s="2" t="s">
        <v>5</v>
      </c>
      <c r="C346" s="2" t="s">
        <v>88</v>
      </c>
      <c r="D346" s="7" t="s">
        <v>6</v>
      </c>
      <c r="E346" s="7" t="s">
        <v>370</v>
      </c>
    </row>
    <row r="347" spans="1:5" x14ac:dyDescent="0.25">
      <c r="A347" s="1">
        <v>45383</v>
      </c>
      <c r="B347" s="2" t="s">
        <v>5</v>
      </c>
      <c r="C347" s="2" t="s">
        <v>90</v>
      </c>
      <c r="D347" s="7" t="s">
        <v>7</v>
      </c>
      <c r="E347" s="7" t="s">
        <v>371</v>
      </c>
    </row>
    <row r="348" spans="1:5" x14ac:dyDescent="0.25">
      <c r="A348" s="1">
        <v>45383</v>
      </c>
      <c r="B348" s="2" t="s">
        <v>5</v>
      </c>
      <c r="C348" s="2" t="s">
        <v>92</v>
      </c>
      <c r="D348" s="7" t="s">
        <v>8</v>
      </c>
      <c r="E348" s="7" t="s">
        <v>372</v>
      </c>
    </row>
    <row r="349" spans="1:5" x14ac:dyDescent="0.25">
      <c r="A349" s="1">
        <v>45383</v>
      </c>
      <c r="B349" s="2" t="s">
        <v>5</v>
      </c>
      <c r="C349" s="2" t="s">
        <v>94</v>
      </c>
      <c r="D349" s="7" t="s">
        <v>9</v>
      </c>
      <c r="E349" s="7" t="s">
        <v>373</v>
      </c>
    </row>
    <row r="350" spans="1:5" x14ac:dyDescent="0.25">
      <c r="A350" s="1">
        <v>45383</v>
      </c>
      <c r="B350" s="2" t="s">
        <v>5</v>
      </c>
      <c r="C350" s="2" t="s">
        <v>96</v>
      </c>
      <c r="D350" s="7" t="s">
        <v>10</v>
      </c>
      <c r="E350" s="7" t="s">
        <v>374</v>
      </c>
    </row>
    <row r="351" spans="1:5" x14ac:dyDescent="0.25">
      <c r="A351" s="1">
        <v>45383</v>
      </c>
      <c r="B351" s="2" t="s">
        <v>5</v>
      </c>
      <c r="C351" s="2" t="s">
        <v>98</v>
      </c>
      <c r="D351" s="7" t="s">
        <v>11</v>
      </c>
      <c r="E351" s="7" t="s">
        <v>375</v>
      </c>
    </row>
    <row r="352" spans="1:5" x14ac:dyDescent="0.25">
      <c r="A352" s="1">
        <v>45383</v>
      </c>
      <c r="B352" s="2" t="s">
        <v>5</v>
      </c>
      <c r="C352" s="2" t="s">
        <v>100</v>
      </c>
      <c r="D352" s="7" t="s">
        <v>12</v>
      </c>
      <c r="E352" s="7" t="s">
        <v>376</v>
      </c>
    </row>
    <row r="353" spans="1:5" x14ac:dyDescent="0.25">
      <c r="A353" s="1">
        <v>45383</v>
      </c>
      <c r="B353" s="2" t="s">
        <v>5</v>
      </c>
      <c r="C353" s="2" t="s">
        <v>102</v>
      </c>
      <c r="D353" s="7" t="s">
        <v>13</v>
      </c>
      <c r="E353" s="7" t="s">
        <v>377</v>
      </c>
    </row>
    <row r="354" spans="1:5" x14ac:dyDescent="0.25">
      <c r="A354" s="1">
        <v>45383</v>
      </c>
      <c r="B354" s="2" t="s">
        <v>5</v>
      </c>
      <c r="C354" s="2" t="s">
        <v>104</v>
      </c>
      <c r="D354" s="7" t="s">
        <v>14</v>
      </c>
      <c r="E354" s="7" t="s">
        <v>378</v>
      </c>
    </row>
    <row r="355" spans="1:5" x14ac:dyDescent="0.25">
      <c r="A355" s="1">
        <v>45383</v>
      </c>
      <c r="B355" s="2" t="s">
        <v>5</v>
      </c>
      <c r="C355" s="2" t="s">
        <v>106</v>
      </c>
      <c r="D355" s="7" t="s">
        <v>15</v>
      </c>
      <c r="E355" s="7" t="s">
        <v>379</v>
      </c>
    </row>
    <row r="356" spans="1:5" x14ac:dyDescent="0.25">
      <c r="A356" s="1">
        <v>45383</v>
      </c>
      <c r="B356" s="2" t="s">
        <v>5</v>
      </c>
      <c r="C356" s="2" t="s">
        <v>108</v>
      </c>
      <c r="D356" s="7" t="s">
        <v>16</v>
      </c>
      <c r="E356" s="7" t="s">
        <v>380</v>
      </c>
    </row>
    <row r="357" spans="1:5" x14ac:dyDescent="0.25">
      <c r="A357" s="1">
        <v>45383</v>
      </c>
      <c r="B357" s="2" t="s">
        <v>5</v>
      </c>
      <c r="C357" s="2" t="s">
        <v>110</v>
      </c>
      <c r="D357" s="7" t="s">
        <v>17</v>
      </c>
      <c r="E357" s="7" t="s">
        <v>381</v>
      </c>
    </row>
    <row r="358" spans="1:5" x14ac:dyDescent="0.25">
      <c r="A358" s="1">
        <v>45383</v>
      </c>
      <c r="B358" s="2" t="s">
        <v>5</v>
      </c>
      <c r="C358" s="2" t="s">
        <v>87</v>
      </c>
      <c r="D358" s="7" t="s">
        <v>18</v>
      </c>
      <c r="E358" s="7" t="s">
        <v>382</v>
      </c>
    </row>
    <row r="359" spans="1:5" x14ac:dyDescent="0.25">
      <c r="A359" s="1">
        <v>45383</v>
      </c>
      <c r="B359" s="2" t="s">
        <v>5</v>
      </c>
      <c r="C359" s="2" t="s">
        <v>113</v>
      </c>
      <c r="D359" s="7" t="s">
        <v>19</v>
      </c>
      <c r="E359" s="7" t="s">
        <v>383</v>
      </c>
    </row>
    <row r="360" spans="1:5" x14ac:dyDescent="0.25">
      <c r="A360" s="1">
        <v>45383</v>
      </c>
      <c r="B360" s="2" t="s">
        <v>5</v>
      </c>
      <c r="C360" s="2" t="s">
        <v>115</v>
      </c>
      <c r="D360" s="7" t="s">
        <v>20</v>
      </c>
      <c r="E360" s="7" t="s">
        <v>384</v>
      </c>
    </row>
    <row r="361" spans="1:5" x14ac:dyDescent="0.25">
      <c r="A361" s="1">
        <v>45383</v>
      </c>
      <c r="B361" s="2" t="s">
        <v>5</v>
      </c>
      <c r="C361" s="2" t="s">
        <v>117</v>
      </c>
      <c r="D361" s="7" t="s">
        <v>21</v>
      </c>
      <c r="E361" s="7" t="s">
        <v>385</v>
      </c>
    </row>
    <row r="362" spans="1:5" x14ac:dyDescent="0.25">
      <c r="A362" s="1">
        <v>45383</v>
      </c>
      <c r="B362" s="2" t="s">
        <v>5</v>
      </c>
      <c r="C362" s="2" t="s">
        <v>119</v>
      </c>
      <c r="D362" s="7" t="s">
        <v>22</v>
      </c>
      <c r="E362" s="7" t="s">
        <v>386</v>
      </c>
    </row>
    <row r="363" spans="1:5" x14ac:dyDescent="0.25">
      <c r="A363" s="1">
        <v>45383</v>
      </c>
      <c r="B363" s="2" t="s">
        <v>5</v>
      </c>
      <c r="C363" s="2" t="s">
        <v>121</v>
      </c>
      <c r="D363" s="7" t="s">
        <v>23</v>
      </c>
      <c r="E363" s="7" t="s">
        <v>387</v>
      </c>
    </row>
    <row r="364" spans="1:5" x14ac:dyDescent="0.25">
      <c r="A364" s="1">
        <v>45383</v>
      </c>
      <c r="B364" s="2" t="s">
        <v>5</v>
      </c>
      <c r="C364" s="2" t="s">
        <v>123</v>
      </c>
      <c r="D364" s="7" t="s">
        <v>24</v>
      </c>
      <c r="E364" s="7" t="s">
        <v>388</v>
      </c>
    </row>
    <row r="365" spans="1:5" x14ac:dyDescent="0.25">
      <c r="A365" s="1">
        <v>45383</v>
      </c>
      <c r="B365" s="2" t="s">
        <v>5</v>
      </c>
      <c r="C365" s="2" t="s">
        <v>125</v>
      </c>
      <c r="D365" s="7" t="s">
        <v>25</v>
      </c>
      <c r="E365" s="7" t="s">
        <v>389</v>
      </c>
    </row>
    <row r="366" spans="1:5" x14ac:dyDescent="0.25">
      <c r="A366" s="1">
        <v>45383</v>
      </c>
      <c r="B366" s="2" t="s">
        <v>5</v>
      </c>
      <c r="C366" s="2" t="s">
        <v>127</v>
      </c>
      <c r="D366" s="7" t="s">
        <v>26</v>
      </c>
      <c r="E366" s="7" t="s">
        <v>390</v>
      </c>
    </row>
    <row r="367" spans="1:5" x14ac:dyDescent="0.25">
      <c r="A367" s="1">
        <v>45383</v>
      </c>
      <c r="B367" s="2" t="s">
        <v>5</v>
      </c>
      <c r="C367" s="2" t="s">
        <v>129</v>
      </c>
      <c r="D367" s="7" t="s">
        <v>27</v>
      </c>
      <c r="E367" s="7" t="s">
        <v>391</v>
      </c>
    </row>
    <row r="368" spans="1:5" x14ac:dyDescent="0.25">
      <c r="A368" s="1">
        <v>45383</v>
      </c>
      <c r="B368" s="2" t="s">
        <v>5</v>
      </c>
      <c r="C368" s="2" t="s">
        <v>131</v>
      </c>
      <c r="D368" s="7" t="s">
        <v>28</v>
      </c>
      <c r="E368" s="7" t="s">
        <v>392</v>
      </c>
    </row>
    <row r="369" spans="1:5" x14ac:dyDescent="0.25">
      <c r="A369" s="1">
        <v>45383</v>
      </c>
      <c r="B369" s="2" t="s">
        <v>5</v>
      </c>
      <c r="C369" s="2" t="s">
        <v>133</v>
      </c>
      <c r="D369" s="7" t="s">
        <v>29</v>
      </c>
      <c r="E369" s="7" t="s">
        <v>388</v>
      </c>
    </row>
    <row r="370" spans="1:5" x14ac:dyDescent="0.25">
      <c r="A370" s="1">
        <v>45383</v>
      </c>
      <c r="B370" s="2" t="s">
        <v>5</v>
      </c>
      <c r="C370" s="2" t="s">
        <v>134</v>
      </c>
      <c r="D370" s="7" t="s">
        <v>30</v>
      </c>
      <c r="E370" s="7" t="s">
        <v>389</v>
      </c>
    </row>
    <row r="371" spans="1:5" x14ac:dyDescent="0.25">
      <c r="A371" s="1">
        <v>45383</v>
      </c>
      <c r="B371" s="2" t="s">
        <v>5</v>
      </c>
      <c r="C371" s="2" t="s">
        <v>135</v>
      </c>
      <c r="D371" s="7" t="s">
        <v>31</v>
      </c>
      <c r="E371" s="7" t="s">
        <v>390</v>
      </c>
    </row>
    <row r="372" spans="1:5" x14ac:dyDescent="0.25">
      <c r="A372" s="1">
        <v>45383</v>
      </c>
      <c r="B372" s="2" t="s">
        <v>5</v>
      </c>
      <c r="C372" s="2" t="s">
        <v>136</v>
      </c>
      <c r="D372" s="7" t="s">
        <v>32</v>
      </c>
      <c r="E372" s="7" t="s">
        <v>391</v>
      </c>
    </row>
    <row r="373" spans="1:5" x14ac:dyDescent="0.25">
      <c r="A373" s="1">
        <v>45383</v>
      </c>
      <c r="B373" s="2" t="s">
        <v>5</v>
      </c>
      <c r="C373" s="2" t="s">
        <v>137</v>
      </c>
      <c r="D373" s="7" t="s">
        <v>33</v>
      </c>
      <c r="E373" s="7" t="s">
        <v>392</v>
      </c>
    </row>
    <row r="374" spans="1:5" x14ac:dyDescent="0.25">
      <c r="A374" s="1">
        <v>45383</v>
      </c>
      <c r="B374" s="2" t="s">
        <v>5</v>
      </c>
      <c r="C374" s="2" t="s">
        <v>138</v>
      </c>
      <c r="D374" s="7" t="s">
        <v>34</v>
      </c>
      <c r="E374" s="7" t="s">
        <v>393</v>
      </c>
    </row>
    <row r="375" spans="1:5" x14ac:dyDescent="0.25">
      <c r="A375" s="1">
        <v>45383</v>
      </c>
      <c r="B375" s="2" t="s">
        <v>5</v>
      </c>
      <c r="C375" s="2" t="s">
        <v>140</v>
      </c>
      <c r="D375" s="7" t="s">
        <v>35</v>
      </c>
      <c r="E375" s="7" t="s">
        <v>394</v>
      </c>
    </row>
    <row r="376" spans="1:5" x14ac:dyDescent="0.25">
      <c r="A376" s="1">
        <v>45383</v>
      </c>
      <c r="B376" s="2" t="s">
        <v>5</v>
      </c>
      <c r="C376" s="2" t="s">
        <v>142</v>
      </c>
      <c r="D376" s="7" t="s">
        <v>36</v>
      </c>
      <c r="E376" s="7" t="s">
        <v>376</v>
      </c>
    </row>
    <row r="377" spans="1:5" x14ac:dyDescent="0.25">
      <c r="A377" s="1">
        <v>45383</v>
      </c>
      <c r="B377" s="2" t="s">
        <v>5</v>
      </c>
      <c r="C377" s="2" t="s">
        <v>143</v>
      </c>
      <c r="D377" s="7" t="s">
        <v>37</v>
      </c>
      <c r="E377" s="7" t="s">
        <v>377</v>
      </c>
    </row>
    <row r="378" spans="1:5" x14ac:dyDescent="0.25">
      <c r="A378" s="1">
        <v>45383</v>
      </c>
      <c r="B378" s="2" t="s">
        <v>5</v>
      </c>
      <c r="C378" s="2" t="s">
        <v>144</v>
      </c>
      <c r="D378" s="7" t="s">
        <v>38</v>
      </c>
      <c r="E378" s="7" t="s">
        <v>395</v>
      </c>
    </row>
    <row r="379" spans="1:5" x14ac:dyDescent="0.25">
      <c r="A379" s="1">
        <v>45383</v>
      </c>
      <c r="B379" s="2" t="s">
        <v>5</v>
      </c>
      <c r="C379" s="2" t="s">
        <v>146</v>
      </c>
      <c r="D379" s="7" t="s">
        <v>39</v>
      </c>
      <c r="E379" s="7" t="s">
        <v>393</v>
      </c>
    </row>
    <row r="380" spans="1:5" x14ac:dyDescent="0.25">
      <c r="A380" s="1">
        <v>45383</v>
      </c>
      <c r="B380" s="2" t="s">
        <v>5</v>
      </c>
      <c r="C380" s="2" t="s">
        <v>147</v>
      </c>
      <c r="D380" s="7" t="s">
        <v>40</v>
      </c>
      <c r="E380" s="7" t="s">
        <v>394</v>
      </c>
    </row>
    <row r="381" spans="1:5" x14ac:dyDescent="0.25">
      <c r="A381" s="1">
        <v>45383</v>
      </c>
      <c r="B381" s="2" t="s">
        <v>5</v>
      </c>
      <c r="C381" s="2" t="s">
        <v>148</v>
      </c>
      <c r="D381" s="7" t="s">
        <v>41</v>
      </c>
      <c r="E381" s="7" t="s">
        <v>396</v>
      </c>
    </row>
    <row r="382" spans="1:5" x14ac:dyDescent="0.25">
      <c r="A382" s="1">
        <v>45383</v>
      </c>
      <c r="B382" s="2" t="s">
        <v>5</v>
      </c>
      <c r="C382" s="2" t="s">
        <v>150</v>
      </c>
      <c r="D382" s="7" t="s">
        <v>42</v>
      </c>
      <c r="E382" s="7" t="s">
        <v>397</v>
      </c>
    </row>
    <row r="383" spans="1:5" x14ac:dyDescent="0.25">
      <c r="A383" s="1">
        <v>45383</v>
      </c>
      <c r="B383" s="2" t="s">
        <v>5</v>
      </c>
      <c r="C383" s="2" t="s">
        <v>152</v>
      </c>
      <c r="D383" s="7" t="s">
        <v>43</v>
      </c>
      <c r="E383" s="7" t="s">
        <v>398</v>
      </c>
    </row>
    <row r="384" spans="1:5" x14ac:dyDescent="0.25">
      <c r="A384" s="1">
        <v>45383</v>
      </c>
      <c r="B384" s="2" t="s">
        <v>5</v>
      </c>
      <c r="C384" s="2" t="s">
        <v>154</v>
      </c>
      <c r="D384" s="7" t="s">
        <v>44</v>
      </c>
      <c r="E384" s="7" t="s">
        <v>399</v>
      </c>
    </row>
    <row r="385" spans="1:5" x14ac:dyDescent="0.25">
      <c r="A385" s="1">
        <v>45383</v>
      </c>
      <c r="B385" s="2" t="s">
        <v>5</v>
      </c>
      <c r="C385" s="2" t="s">
        <v>156</v>
      </c>
      <c r="D385" s="7" t="s">
        <v>45</v>
      </c>
      <c r="E385" s="7" t="s">
        <v>400</v>
      </c>
    </row>
    <row r="386" spans="1:5" x14ac:dyDescent="0.25">
      <c r="A386" s="1">
        <v>45383</v>
      </c>
      <c r="B386" s="2" t="s">
        <v>5</v>
      </c>
      <c r="C386" s="2" t="s">
        <v>158</v>
      </c>
      <c r="D386" s="7" t="s">
        <v>46</v>
      </c>
      <c r="E386" s="7" t="s">
        <v>369</v>
      </c>
    </row>
    <row r="387" spans="1:5" x14ac:dyDescent="0.25">
      <c r="A387" s="1">
        <v>45383</v>
      </c>
      <c r="B387" s="2" t="s">
        <v>5</v>
      </c>
      <c r="C387" s="2" t="s">
        <v>160</v>
      </c>
      <c r="D387" s="7" t="s">
        <v>47</v>
      </c>
      <c r="E387" s="7" t="s">
        <v>161</v>
      </c>
    </row>
    <row r="388" spans="1:5" x14ac:dyDescent="0.25">
      <c r="A388" s="1">
        <v>45383</v>
      </c>
      <c r="B388" s="2" t="s">
        <v>5</v>
      </c>
      <c r="C388" s="2" t="s">
        <v>162</v>
      </c>
      <c r="D388" s="7" t="s">
        <v>48</v>
      </c>
      <c r="E388" s="7" t="s">
        <v>401</v>
      </c>
    </row>
    <row r="389" spans="1:5" x14ac:dyDescent="0.25">
      <c r="A389" s="1">
        <v>45383</v>
      </c>
      <c r="B389" s="2" t="s">
        <v>5</v>
      </c>
      <c r="C389" s="2" t="s">
        <v>164</v>
      </c>
      <c r="D389" s="7" t="s">
        <v>49</v>
      </c>
      <c r="E389" s="7" t="s">
        <v>402</v>
      </c>
    </row>
    <row r="390" spans="1:5" x14ac:dyDescent="0.25">
      <c r="A390" s="1">
        <v>45383</v>
      </c>
      <c r="B390" s="2" t="s">
        <v>50</v>
      </c>
      <c r="C390" s="2" t="s">
        <v>88</v>
      </c>
      <c r="D390" s="7" t="s">
        <v>6</v>
      </c>
      <c r="E390" s="7" t="s">
        <v>403</v>
      </c>
    </row>
    <row r="391" spans="1:5" x14ac:dyDescent="0.25">
      <c r="A391" s="1">
        <v>45383</v>
      </c>
      <c r="B391" s="2" t="s">
        <v>50</v>
      </c>
      <c r="C391" s="2" t="s">
        <v>90</v>
      </c>
      <c r="D391" s="7" t="s">
        <v>51</v>
      </c>
      <c r="E391" s="7" t="s">
        <v>404</v>
      </c>
    </row>
    <row r="392" spans="1:5" x14ac:dyDescent="0.25">
      <c r="A392" s="1">
        <v>45383</v>
      </c>
      <c r="B392" s="2" t="s">
        <v>50</v>
      </c>
      <c r="C392" s="2" t="s">
        <v>92</v>
      </c>
      <c r="D392" s="7" t="s">
        <v>52</v>
      </c>
      <c r="E392" s="7" t="s">
        <v>405</v>
      </c>
    </row>
    <row r="393" spans="1:5" x14ac:dyDescent="0.25">
      <c r="A393" s="1">
        <v>45383</v>
      </c>
      <c r="B393" s="2" t="s">
        <v>50</v>
      </c>
      <c r="C393" s="2" t="s">
        <v>96</v>
      </c>
      <c r="D393" s="7" t="s">
        <v>53</v>
      </c>
      <c r="E393" s="7" t="s">
        <v>403</v>
      </c>
    </row>
    <row r="394" spans="1:5" x14ac:dyDescent="0.25">
      <c r="A394" s="1">
        <v>45383</v>
      </c>
      <c r="B394" s="2" t="s">
        <v>50</v>
      </c>
      <c r="C394" s="2" t="s">
        <v>98</v>
      </c>
      <c r="D394" s="7" t="s">
        <v>54</v>
      </c>
      <c r="E394" s="7" t="s">
        <v>406</v>
      </c>
    </row>
    <row r="395" spans="1:5" x14ac:dyDescent="0.25">
      <c r="A395" s="1">
        <v>45383</v>
      </c>
      <c r="B395" s="2" t="s">
        <v>50</v>
      </c>
      <c r="C395" s="2" t="s">
        <v>100</v>
      </c>
      <c r="D395" s="7" t="s">
        <v>55</v>
      </c>
      <c r="E395" s="7" t="s">
        <v>407</v>
      </c>
    </row>
    <row r="396" spans="1:5" x14ac:dyDescent="0.25">
      <c r="A396" s="1">
        <v>45383</v>
      </c>
      <c r="B396" s="2" t="s">
        <v>50</v>
      </c>
      <c r="C396" s="2" t="s">
        <v>102</v>
      </c>
      <c r="D396" s="7" t="s">
        <v>56</v>
      </c>
      <c r="E396" s="7" t="s">
        <v>407</v>
      </c>
    </row>
    <row r="397" spans="1:5" x14ac:dyDescent="0.25">
      <c r="A397" s="1">
        <v>45383</v>
      </c>
      <c r="B397" s="2" t="s">
        <v>50</v>
      </c>
      <c r="C397" s="2" t="s">
        <v>106</v>
      </c>
      <c r="D397" s="7" t="s">
        <v>57</v>
      </c>
      <c r="E397" s="7" t="s">
        <v>407</v>
      </c>
    </row>
    <row r="398" spans="1:5" x14ac:dyDescent="0.25">
      <c r="A398" s="1">
        <v>45383</v>
      </c>
      <c r="B398" s="2" t="s">
        <v>50</v>
      </c>
      <c r="C398" s="2" t="s">
        <v>142</v>
      </c>
      <c r="D398" s="7" t="s">
        <v>58</v>
      </c>
      <c r="E398" s="7" t="s">
        <v>408</v>
      </c>
    </row>
    <row r="399" spans="1:5" x14ac:dyDescent="0.25">
      <c r="A399" s="1">
        <v>45383</v>
      </c>
      <c r="B399" s="2" t="s">
        <v>50</v>
      </c>
      <c r="C399" s="2" t="s">
        <v>172</v>
      </c>
      <c r="D399" s="7" t="s">
        <v>59</v>
      </c>
      <c r="E399" s="7" t="s">
        <v>409</v>
      </c>
    </row>
    <row r="400" spans="1:5" x14ac:dyDescent="0.25">
      <c r="A400" s="1">
        <v>45383</v>
      </c>
      <c r="B400" s="2" t="s">
        <v>50</v>
      </c>
      <c r="C400" s="2" t="s">
        <v>174</v>
      </c>
      <c r="D400" s="7" t="s">
        <v>60</v>
      </c>
      <c r="E400" s="7" t="s">
        <v>410</v>
      </c>
    </row>
    <row r="401" spans="1:5" x14ac:dyDescent="0.25">
      <c r="A401" s="1">
        <v>45383</v>
      </c>
      <c r="B401" s="2" t="s">
        <v>50</v>
      </c>
      <c r="C401" s="2" t="s">
        <v>176</v>
      </c>
      <c r="D401" s="7" t="s">
        <v>61</v>
      </c>
      <c r="E401" s="7" t="s">
        <v>411</v>
      </c>
    </row>
    <row r="402" spans="1:5" x14ac:dyDescent="0.25">
      <c r="A402" s="1">
        <v>45383</v>
      </c>
      <c r="B402" s="2" t="s">
        <v>50</v>
      </c>
      <c r="C402" s="2" t="s">
        <v>178</v>
      </c>
      <c r="D402" s="7" t="s">
        <v>62</v>
      </c>
      <c r="E402" s="7" t="s">
        <v>412</v>
      </c>
    </row>
    <row r="403" spans="1:5" x14ac:dyDescent="0.25">
      <c r="A403" s="1">
        <v>45383</v>
      </c>
      <c r="B403" s="2" t="s">
        <v>50</v>
      </c>
      <c r="C403" s="2" t="s">
        <v>180</v>
      </c>
      <c r="D403" s="7" t="s">
        <v>63</v>
      </c>
      <c r="E403" s="7" t="s">
        <v>413</v>
      </c>
    </row>
    <row r="404" spans="1:5" x14ac:dyDescent="0.25">
      <c r="A404" s="1">
        <v>45383</v>
      </c>
      <c r="B404" s="2" t="s">
        <v>50</v>
      </c>
      <c r="C404" s="2" t="s">
        <v>182</v>
      </c>
      <c r="D404" s="7" t="s">
        <v>64</v>
      </c>
      <c r="E404" s="7" t="s">
        <v>414</v>
      </c>
    </row>
    <row r="405" spans="1:5" x14ac:dyDescent="0.25">
      <c r="A405" s="1">
        <v>45383</v>
      </c>
      <c r="B405" s="2" t="s">
        <v>50</v>
      </c>
      <c r="C405" s="2" t="s">
        <v>184</v>
      </c>
      <c r="D405" s="7" t="s">
        <v>65</v>
      </c>
      <c r="E405" s="7" t="s">
        <v>415</v>
      </c>
    </row>
    <row r="406" spans="1:5" x14ac:dyDescent="0.25">
      <c r="A406" s="1">
        <v>45383</v>
      </c>
      <c r="B406" s="2" t="s">
        <v>50</v>
      </c>
      <c r="C406" s="2" t="s">
        <v>186</v>
      </c>
      <c r="D406" s="7" t="s">
        <v>66</v>
      </c>
      <c r="E406" s="7" t="s">
        <v>416</v>
      </c>
    </row>
    <row r="407" spans="1:5" x14ac:dyDescent="0.25">
      <c r="A407" s="1">
        <v>45383</v>
      </c>
      <c r="B407" s="2" t="s">
        <v>50</v>
      </c>
      <c r="C407" s="2" t="s">
        <v>188</v>
      </c>
      <c r="D407" s="7" t="s">
        <v>67</v>
      </c>
      <c r="E407" s="7" t="s">
        <v>417</v>
      </c>
    </row>
    <row r="408" spans="1:5" x14ac:dyDescent="0.25">
      <c r="A408" s="1">
        <v>45383</v>
      </c>
      <c r="B408" s="2" t="s">
        <v>50</v>
      </c>
      <c r="C408" s="2" t="s">
        <v>190</v>
      </c>
      <c r="D408" s="7" t="s">
        <v>68</v>
      </c>
      <c r="E408" s="7" t="s">
        <v>418</v>
      </c>
    </row>
    <row r="409" spans="1:5" x14ac:dyDescent="0.25">
      <c r="A409" s="1">
        <v>45383</v>
      </c>
      <c r="B409" s="2" t="s">
        <v>50</v>
      </c>
      <c r="C409" s="2" t="s">
        <v>192</v>
      </c>
      <c r="D409" s="7" t="s">
        <v>69</v>
      </c>
      <c r="E409" s="7" t="s">
        <v>419</v>
      </c>
    </row>
    <row r="410" spans="1:5" x14ac:dyDescent="0.25">
      <c r="A410" s="1">
        <v>45383</v>
      </c>
      <c r="B410" s="2" t="s">
        <v>50</v>
      </c>
      <c r="C410" s="2" t="s">
        <v>194</v>
      </c>
      <c r="D410" s="7" t="s">
        <v>70</v>
      </c>
      <c r="E410" s="7" t="s">
        <v>420</v>
      </c>
    </row>
    <row r="411" spans="1:5" x14ac:dyDescent="0.25">
      <c r="A411" s="1">
        <v>45383</v>
      </c>
      <c r="B411" s="2" t="s">
        <v>50</v>
      </c>
      <c r="C411" s="2" t="s">
        <v>196</v>
      </c>
      <c r="D411" s="7" t="s">
        <v>71</v>
      </c>
      <c r="E411" s="7" t="s">
        <v>421</v>
      </c>
    </row>
    <row r="412" spans="1:5" x14ac:dyDescent="0.25">
      <c r="A412" s="1">
        <v>45383</v>
      </c>
      <c r="B412" s="2" t="s">
        <v>50</v>
      </c>
      <c r="C412" s="2" t="s">
        <v>198</v>
      </c>
      <c r="D412" s="7" t="s">
        <v>72</v>
      </c>
      <c r="E412" s="7" t="s">
        <v>422</v>
      </c>
    </row>
    <row r="413" spans="1:5" x14ac:dyDescent="0.25">
      <c r="A413" s="1">
        <v>45383</v>
      </c>
      <c r="B413" s="2" t="s">
        <v>50</v>
      </c>
      <c r="C413" s="2" t="s">
        <v>200</v>
      </c>
      <c r="D413" s="7" t="s">
        <v>73</v>
      </c>
      <c r="E413" s="7" t="s">
        <v>423</v>
      </c>
    </row>
    <row r="414" spans="1:5" x14ac:dyDescent="0.25">
      <c r="A414" s="1">
        <v>45383</v>
      </c>
      <c r="B414" s="2" t="s">
        <v>50</v>
      </c>
      <c r="C414" s="2" t="s">
        <v>202</v>
      </c>
      <c r="D414" s="7" t="s">
        <v>74</v>
      </c>
      <c r="E414" s="7" t="s">
        <v>424</v>
      </c>
    </row>
    <row r="415" spans="1:5" x14ac:dyDescent="0.25">
      <c r="A415" s="1">
        <v>45383</v>
      </c>
      <c r="B415" s="2" t="s">
        <v>50</v>
      </c>
      <c r="C415" s="2" t="s">
        <v>204</v>
      </c>
      <c r="D415" s="7" t="s">
        <v>75</v>
      </c>
      <c r="E415" s="7" t="s">
        <v>425</v>
      </c>
    </row>
    <row r="416" spans="1:5" x14ac:dyDescent="0.25">
      <c r="A416" s="1">
        <v>45383</v>
      </c>
      <c r="B416" s="2" t="s">
        <v>50</v>
      </c>
      <c r="C416" s="2" t="s">
        <v>206</v>
      </c>
      <c r="D416" s="7" t="s">
        <v>76</v>
      </c>
      <c r="E416" s="7" t="s">
        <v>426</v>
      </c>
    </row>
    <row r="417" spans="1:5" x14ac:dyDescent="0.25">
      <c r="A417" s="1">
        <v>45383</v>
      </c>
      <c r="B417" s="2" t="s">
        <v>50</v>
      </c>
      <c r="C417" s="2" t="s">
        <v>138</v>
      </c>
      <c r="D417" s="7" t="s">
        <v>77</v>
      </c>
      <c r="E417" s="7" t="s">
        <v>427</v>
      </c>
    </row>
    <row r="418" spans="1:5" x14ac:dyDescent="0.25">
      <c r="A418" s="1">
        <v>45383</v>
      </c>
      <c r="B418" s="2" t="s">
        <v>50</v>
      </c>
      <c r="C418" s="2" t="s">
        <v>146</v>
      </c>
      <c r="D418" s="7" t="s">
        <v>78</v>
      </c>
      <c r="E418" s="7" t="s">
        <v>209</v>
      </c>
    </row>
    <row r="419" spans="1:5" x14ac:dyDescent="0.25">
      <c r="A419" s="1">
        <v>45383</v>
      </c>
      <c r="B419" s="2" t="s">
        <v>50</v>
      </c>
      <c r="C419" s="2" t="s">
        <v>143</v>
      </c>
      <c r="D419" s="7" t="s">
        <v>79</v>
      </c>
      <c r="E419" s="7" t="s">
        <v>428</v>
      </c>
    </row>
    <row r="420" spans="1:5" x14ac:dyDescent="0.25">
      <c r="A420" s="1">
        <v>45383</v>
      </c>
      <c r="B420" s="2" t="s">
        <v>50</v>
      </c>
      <c r="C420" s="2" t="s">
        <v>144</v>
      </c>
      <c r="D420" s="7" t="s">
        <v>80</v>
      </c>
      <c r="E420" s="7" t="s">
        <v>429</v>
      </c>
    </row>
    <row r="421" spans="1:5" x14ac:dyDescent="0.25">
      <c r="A421" s="1">
        <v>45383</v>
      </c>
      <c r="B421" s="2" t="s">
        <v>50</v>
      </c>
      <c r="C421" s="2" t="s">
        <v>140</v>
      </c>
      <c r="D421" s="7" t="s">
        <v>81</v>
      </c>
      <c r="E421" s="7" t="s">
        <v>430</v>
      </c>
    </row>
    <row r="422" spans="1:5" x14ac:dyDescent="0.25">
      <c r="A422" s="1">
        <v>45383</v>
      </c>
      <c r="B422" s="2" t="s">
        <v>50</v>
      </c>
      <c r="C422" s="2" t="s">
        <v>148</v>
      </c>
      <c r="D422" s="7" t="s">
        <v>82</v>
      </c>
      <c r="E422" s="7" t="s">
        <v>431</v>
      </c>
    </row>
    <row r="423" spans="1:5" x14ac:dyDescent="0.25">
      <c r="A423" s="1">
        <v>45383</v>
      </c>
      <c r="B423" s="2" t="s">
        <v>50</v>
      </c>
      <c r="C423" s="2" t="s">
        <v>150</v>
      </c>
      <c r="D423" s="7" t="s">
        <v>83</v>
      </c>
      <c r="E423" s="7" t="s">
        <v>432</v>
      </c>
    </row>
    <row r="424" spans="1:5" x14ac:dyDescent="0.25">
      <c r="A424" s="1">
        <v>45383</v>
      </c>
      <c r="B424" s="2" t="s">
        <v>50</v>
      </c>
      <c r="C424" s="2" t="s">
        <v>215</v>
      </c>
      <c r="D424" s="7" t="s">
        <v>84</v>
      </c>
      <c r="E424" s="7" t="s">
        <v>432</v>
      </c>
    </row>
    <row r="425" spans="1:5" x14ac:dyDescent="0.25">
      <c r="A425" s="1">
        <v>45383</v>
      </c>
      <c r="B425" s="2" t="s">
        <v>50</v>
      </c>
      <c r="C425" s="2" t="s">
        <v>162</v>
      </c>
      <c r="D425" s="7" t="s">
        <v>85</v>
      </c>
      <c r="E425" s="7" t="s">
        <v>433</v>
      </c>
    </row>
    <row r="426" spans="1:5" x14ac:dyDescent="0.25">
      <c r="A426" s="1">
        <v>45383</v>
      </c>
      <c r="B426" s="2" t="s">
        <v>50</v>
      </c>
      <c r="C426" s="2" t="s">
        <v>164</v>
      </c>
      <c r="D426" s="7" t="s">
        <v>49</v>
      </c>
      <c r="E426" s="7" t="s">
        <v>434</v>
      </c>
    </row>
    <row r="427" spans="1:5" x14ac:dyDescent="0.25">
      <c r="A427" s="1">
        <v>45383</v>
      </c>
      <c r="B427" s="2" t="s">
        <v>50</v>
      </c>
      <c r="C427" s="2" t="s">
        <v>218</v>
      </c>
      <c r="D427" s="7" t="s">
        <v>86</v>
      </c>
      <c r="E427" s="7" t="s">
        <v>435</v>
      </c>
    </row>
    <row r="428" spans="1:5" x14ac:dyDescent="0.25">
      <c r="A428" s="1">
        <v>45383</v>
      </c>
      <c r="B428" s="2" t="s">
        <v>50</v>
      </c>
      <c r="C428" s="2" t="s">
        <v>154</v>
      </c>
      <c r="D428" s="7" t="s">
        <v>44</v>
      </c>
      <c r="E428" s="7" t="s">
        <v>399</v>
      </c>
    </row>
    <row r="429" spans="1:5" x14ac:dyDescent="0.25">
      <c r="A429" s="1">
        <v>45383</v>
      </c>
      <c r="B429" s="2" t="s">
        <v>50</v>
      </c>
      <c r="C429" s="2" t="s">
        <v>156</v>
      </c>
      <c r="D429" s="7" t="s">
        <v>45</v>
      </c>
      <c r="E429" s="7" t="s">
        <v>400</v>
      </c>
    </row>
    <row r="430" spans="1:5" x14ac:dyDescent="0.25">
      <c r="A430" s="1">
        <v>45383</v>
      </c>
      <c r="B430" s="2" t="s">
        <v>50</v>
      </c>
      <c r="C430" s="2" t="s">
        <v>158</v>
      </c>
      <c r="D430" s="7" t="s">
        <v>46</v>
      </c>
      <c r="E430" s="7" t="s">
        <v>369</v>
      </c>
    </row>
    <row r="431" spans="1:5" x14ac:dyDescent="0.25">
      <c r="A431" s="1">
        <v>45383</v>
      </c>
      <c r="B431" s="2" t="s">
        <v>50</v>
      </c>
      <c r="C431" s="2" t="s">
        <v>160</v>
      </c>
      <c r="D431" s="7" t="s">
        <v>47</v>
      </c>
      <c r="E431" s="7" t="s">
        <v>161</v>
      </c>
    </row>
    <row r="432" spans="1:5" x14ac:dyDescent="0.25">
      <c r="A432" s="1">
        <v>45292</v>
      </c>
      <c r="B432" s="2" t="s">
        <v>50</v>
      </c>
      <c r="C432" s="2" t="s">
        <v>88</v>
      </c>
      <c r="D432" s="7" t="s">
        <v>6</v>
      </c>
      <c r="E432" s="7" t="s">
        <v>436</v>
      </c>
    </row>
    <row r="433" spans="1:5" x14ac:dyDescent="0.25">
      <c r="A433" s="1">
        <v>45292</v>
      </c>
      <c r="B433" s="2" t="s">
        <v>50</v>
      </c>
      <c r="C433" s="2" t="s">
        <v>90</v>
      </c>
      <c r="D433" s="7" t="s">
        <v>51</v>
      </c>
      <c r="E433" s="7" t="s">
        <v>437</v>
      </c>
    </row>
    <row r="434" spans="1:5" x14ac:dyDescent="0.25">
      <c r="A434" s="1">
        <v>45292</v>
      </c>
      <c r="B434" s="2" t="s">
        <v>50</v>
      </c>
      <c r="C434" s="2" t="s">
        <v>92</v>
      </c>
      <c r="D434" s="7" t="s">
        <v>52</v>
      </c>
      <c r="E434" s="7" t="s">
        <v>438</v>
      </c>
    </row>
    <row r="435" spans="1:5" x14ac:dyDescent="0.25">
      <c r="A435" s="1">
        <v>45292</v>
      </c>
      <c r="B435" s="2" t="s">
        <v>50</v>
      </c>
      <c r="C435" s="2" t="s">
        <v>96</v>
      </c>
      <c r="D435" s="7" t="s">
        <v>53</v>
      </c>
      <c r="E435" s="7" t="s">
        <v>436</v>
      </c>
    </row>
    <row r="436" spans="1:5" x14ac:dyDescent="0.25">
      <c r="A436" s="1">
        <v>45292</v>
      </c>
      <c r="B436" s="2" t="s">
        <v>50</v>
      </c>
      <c r="C436" s="2" t="s">
        <v>98</v>
      </c>
      <c r="D436" s="7" t="s">
        <v>54</v>
      </c>
      <c r="E436" s="7" t="s">
        <v>439</v>
      </c>
    </row>
    <row r="437" spans="1:5" x14ac:dyDescent="0.25">
      <c r="A437" s="1">
        <v>45292</v>
      </c>
      <c r="B437" s="2" t="s">
        <v>50</v>
      </c>
      <c r="C437" s="2" t="s">
        <v>100</v>
      </c>
      <c r="D437" s="7" t="s">
        <v>55</v>
      </c>
      <c r="E437" s="7" t="s">
        <v>440</v>
      </c>
    </row>
    <row r="438" spans="1:5" x14ac:dyDescent="0.25">
      <c r="A438" s="1">
        <v>45292</v>
      </c>
      <c r="B438" s="2" t="s">
        <v>50</v>
      </c>
      <c r="C438" s="2" t="s">
        <v>102</v>
      </c>
      <c r="D438" s="7" t="s">
        <v>56</v>
      </c>
      <c r="E438" s="7" t="s">
        <v>440</v>
      </c>
    </row>
    <row r="439" spans="1:5" x14ac:dyDescent="0.25">
      <c r="A439" s="1">
        <v>45292</v>
      </c>
      <c r="B439" s="2" t="s">
        <v>50</v>
      </c>
      <c r="C439" s="2" t="s">
        <v>106</v>
      </c>
      <c r="D439" s="7" t="s">
        <v>57</v>
      </c>
      <c r="E439" s="7" t="s">
        <v>440</v>
      </c>
    </row>
    <row r="440" spans="1:5" x14ac:dyDescent="0.25">
      <c r="A440" s="1">
        <v>45292</v>
      </c>
      <c r="B440" s="2" t="s">
        <v>50</v>
      </c>
      <c r="C440" s="2" t="s">
        <v>142</v>
      </c>
      <c r="D440" s="7" t="s">
        <v>58</v>
      </c>
      <c r="E440" s="7" t="s">
        <v>441</v>
      </c>
    </row>
    <row r="441" spans="1:5" x14ac:dyDescent="0.25">
      <c r="A441" s="1">
        <v>45292</v>
      </c>
      <c r="B441" s="2" t="s">
        <v>50</v>
      </c>
      <c r="C441" s="2" t="s">
        <v>172</v>
      </c>
      <c r="D441" s="7" t="s">
        <v>59</v>
      </c>
      <c r="E441" s="7" t="s">
        <v>442</v>
      </c>
    </row>
    <row r="442" spans="1:5" x14ac:dyDescent="0.25">
      <c r="A442" s="1">
        <v>45292</v>
      </c>
      <c r="B442" s="2" t="s">
        <v>50</v>
      </c>
      <c r="C442" s="2" t="s">
        <v>174</v>
      </c>
      <c r="D442" s="7" t="s">
        <v>60</v>
      </c>
      <c r="E442" s="7" t="s">
        <v>443</v>
      </c>
    </row>
    <row r="443" spans="1:5" x14ac:dyDescent="0.25">
      <c r="A443" s="1">
        <v>45292</v>
      </c>
      <c r="B443" s="2" t="s">
        <v>50</v>
      </c>
      <c r="C443" s="2" t="s">
        <v>176</v>
      </c>
      <c r="D443" s="7" t="s">
        <v>61</v>
      </c>
      <c r="E443" s="7" t="s">
        <v>444</v>
      </c>
    </row>
    <row r="444" spans="1:5" x14ac:dyDescent="0.25">
      <c r="A444" s="1">
        <v>45292</v>
      </c>
      <c r="B444" s="2" t="s">
        <v>50</v>
      </c>
      <c r="C444" s="2" t="s">
        <v>178</v>
      </c>
      <c r="D444" s="7" t="s">
        <v>62</v>
      </c>
      <c r="E444" s="7" t="s">
        <v>445</v>
      </c>
    </row>
    <row r="445" spans="1:5" x14ac:dyDescent="0.25">
      <c r="A445" s="1">
        <v>45292</v>
      </c>
      <c r="B445" s="2" t="s">
        <v>50</v>
      </c>
      <c r="C445" s="2" t="s">
        <v>180</v>
      </c>
      <c r="D445" s="7" t="s">
        <v>63</v>
      </c>
      <c r="E445" s="7" t="s">
        <v>446</v>
      </c>
    </row>
    <row r="446" spans="1:5" x14ac:dyDescent="0.25">
      <c r="A446" s="1">
        <v>45292</v>
      </c>
      <c r="B446" s="2" t="s">
        <v>50</v>
      </c>
      <c r="C446" s="2" t="s">
        <v>182</v>
      </c>
      <c r="D446" s="7" t="s">
        <v>64</v>
      </c>
      <c r="E446" s="7" t="s">
        <v>447</v>
      </c>
    </row>
    <row r="447" spans="1:5" x14ac:dyDescent="0.25">
      <c r="A447" s="1">
        <v>45292</v>
      </c>
      <c r="B447" s="2" t="s">
        <v>50</v>
      </c>
      <c r="C447" s="2" t="s">
        <v>184</v>
      </c>
      <c r="D447" s="7" t="s">
        <v>65</v>
      </c>
      <c r="E447" s="7" t="s">
        <v>448</v>
      </c>
    </row>
    <row r="448" spans="1:5" x14ac:dyDescent="0.25">
      <c r="A448" s="1">
        <v>45292</v>
      </c>
      <c r="B448" s="2" t="s">
        <v>50</v>
      </c>
      <c r="C448" s="2" t="s">
        <v>186</v>
      </c>
      <c r="D448" s="7" t="s">
        <v>66</v>
      </c>
      <c r="E448" s="7" t="s">
        <v>449</v>
      </c>
    </row>
    <row r="449" spans="1:5" x14ac:dyDescent="0.25">
      <c r="A449" s="1">
        <v>45292</v>
      </c>
      <c r="B449" s="2" t="s">
        <v>50</v>
      </c>
      <c r="C449" s="2" t="s">
        <v>188</v>
      </c>
      <c r="D449" s="7" t="s">
        <v>67</v>
      </c>
      <c r="E449" s="7" t="s">
        <v>450</v>
      </c>
    </row>
    <row r="450" spans="1:5" x14ac:dyDescent="0.25">
      <c r="A450" s="1">
        <v>45292</v>
      </c>
      <c r="B450" s="2" t="s">
        <v>50</v>
      </c>
      <c r="C450" s="2" t="s">
        <v>190</v>
      </c>
      <c r="D450" s="7" t="s">
        <v>68</v>
      </c>
      <c r="E450" s="7" t="s">
        <v>451</v>
      </c>
    </row>
    <row r="451" spans="1:5" x14ac:dyDescent="0.25">
      <c r="A451" s="1">
        <v>45292</v>
      </c>
      <c r="B451" s="2" t="s">
        <v>50</v>
      </c>
      <c r="C451" s="2" t="s">
        <v>192</v>
      </c>
      <c r="D451" s="7" t="s">
        <v>69</v>
      </c>
      <c r="E451" s="7" t="s">
        <v>452</v>
      </c>
    </row>
    <row r="452" spans="1:5" x14ac:dyDescent="0.25">
      <c r="A452" s="1">
        <v>45292</v>
      </c>
      <c r="B452" s="2" t="s">
        <v>50</v>
      </c>
      <c r="C452" s="2" t="s">
        <v>194</v>
      </c>
      <c r="D452" s="7" t="s">
        <v>70</v>
      </c>
      <c r="E452" s="7" t="s">
        <v>453</v>
      </c>
    </row>
    <row r="453" spans="1:5" x14ac:dyDescent="0.25">
      <c r="A453" s="1">
        <v>45292</v>
      </c>
      <c r="B453" s="2" t="s">
        <v>50</v>
      </c>
      <c r="C453" s="2" t="s">
        <v>196</v>
      </c>
      <c r="D453" s="7" t="s">
        <v>71</v>
      </c>
      <c r="E453" s="7" t="s">
        <v>454</v>
      </c>
    </row>
    <row r="454" spans="1:5" x14ac:dyDescent="0.25">
      <c r="A454" s="1">
        <v>45292</v>
      </c>
      <c r="B454" s="2" t="s">
        <v>50</v>
      </c>
      <c r="C454" s="2" t="s">
        <v>198</v>
      </c>
      <c r="D454" s="7" t="s">
        <v>72</v>
      </c>
      <c r="E454" s="7" t="s">
        <v>455</v>
      </c>
    </row>
    <row r="455" spans="1:5" x14ac:dyDescent="0.25">
      <c r="A455" s="1">
        <v>45292</v>
      </c>
      <c r="B455" s="2" t="s">
        <v>50</v>
      </c>
      <c r="C455" s="2" t="s">
        <v>200</v>
      </c>
      <c r="D455" s="7" t="s">
        <v>73</v>
      </c>
      <c r="E455" s="7" t="s">
        <v>456</v>
      </c>
    </row>
    <row r="456" spans="1:5" x14ac:dyDescent="0.25">
      <c r="A456" s="1">
        <v>45292</v>
      </c>
      <c r="B456" s="2" t="s">
        <v>50</v>
      </c>
      <c r="C456" s="2" t="s">
        <v>202</v>
      </c>
      <c r="D456" s="7" t="s">
        <v>74</v>
      </c>
      <c r="E456" s="7" t="s">
        <v>457</v>
      </c>
    </row>
    <row r="457" spans="1:5" x14ac:dyDescent="0.25">
      <c r="A457" s="1">
        <v>45292</v>
      </c>
      <c r="B457" s="2" t="s">
        <v>50</v>
      </c>
      <c r="C457" s="2" t="s">
        <v>204</v>
      </c>
      <c r="D457" s="7" t="s">
        <v>75</v>
      </c>
      <c r="E457" s="7" t="s">
        <v>458</v>
      </c>
    </row>
    <row r="458" spans="1:5" x14ac:dyDescent="0.25">
      <c r="A458" s="1">
        <v>45292</v>
      </c>
      <c r="B458" s="2" t="s">
        <v>50</v>
      </c>
      <c r="C458" s="2" t="s">
        <v>206</v>
      </c>
      <c r="D458" s="7" t="s">
        <v>76</v>
      </c>
      <c r="E458" s="7" t="s">
        <v>459</v>
      </c>
    </row>
    <row r="459" spans="1:5" x14ac:dyDescent="0.25">
      <c r="A459" s="1">
        <v>45292</v>
      </c>
      <c r="B459" s="2" t="s">
        <v>50</v>
      </c>
      <c r="C459" s="2" t="s">
        <v>138</v>
      </c>
      <c r="D459" s="7" t="s">
        <v>77</v>
      </c>
      <c r="E459" s="7" t="s">
        <v>460</v>
      </c>
    </row>
    <row r="460" spans="1:5" x14ac:dyDescent="0.25">
      <c r="A460" s="1">
        <v>45292</v>
      </c>
      <c r="B460" s="2" t="s">
        <v>50</v>
      </c>
      <c r="C460" s="2" t="s">
        <v>146</v>
      </c>
      <c r="D460" s="7" t="s">
        <v>78</v>
      </c>
      <c r="E460" s="7" t="s">
        <v>209</v>
      </c>
    </row>
    <row r="461" spans="1:5" x14ac:dyDescent="0.25">
      <c r="A461" s="1">
        <v>45292</v>
      </c>
      <c r="B461" s="2" t="s">
        <v>50</v>
      </c>
      <c r="C461" s="2" t="s">
        <v>143</v>
      </c>
      <c r="D461" s="7" t="s">
        <v>79</v>
      </c>
      <c r="E461" s="7" t="s">
        <v>461</v>
      </c>
    </row>
    <row r="462" spans="1:5" x14ac:dyDescent="0.25">
      <c r="A462" s="1">
        <v>45292</v>
      </c>
      <c r="B462" s="2" t="s">
        <v>50</v>
      </c>
      <c r="C462" s="2" t="s">
        <v>144</v>
      </c>
      <c r="D462" s="7" t="s">
        <v>80</v>
      </c>
      <c r="E462" s="7" t="s">
        <v>462</v>
      </c>
    </row>
    <row r="463" spans="1:5" x14ac:dyDescent="0.25">
      <c r="A463" s="1">
        <v>45292</v>
      </c>
      <c r="B463" s="2" t="s">
        <v>50</v>
      </c>
      <c r="C463" s="2" t="s">
        <v>140</v>
      </c>
      <c r="D463" s="7" t="s">
        <v>81</v>
      </c>
      <c r="E463" s="7" t="s">
        <v>463</v>
      </c>
    </row>
    <row r="464" spans="1:5" x14ac:dyDescent="0.25">
      <c r="A464" s="1">
        <v>45292</v>
      </c>
      <c r="B464" s="2" t="s">
        <v>50</v>
      </c>
      <c r="C464" s="2" t="s">
        <v>148</v>
      </c>
      <c r="D464" s="7" t="s">
        <v>82</v>
      </c>
      <c r="E464" s="7" t="s">
        <v>464</v>
      </c>
    </row>
    <row r="465" spans="1:5" x14ac:dyDescent="0.25">
      <c r="A465" s="1">
        <v>45292</v>
      </c>
      <c r="B465" s="2" t="s">
        <v>50</v>
      </c>
      <c r="C465" s="2" t="s">
        <v>150</v>
      </c>
      <c r="D465" s="7" t="s">
        <v>83</v>
      </c>
      <c r="E465" s="7" t="s">
        <v>465</v>
      </c>
    </row>
    <row r="466" spans="1:5" x14ac:dyDescent="0.25">
      <c r="A466" s="1">
        <v>45292</v>
      </c>
      <c r="B466" s="2" t="s">
        <v>50</v>
      </c>
      <c r="C466" s="2" t="s">
        <v>215</v>
      </c>
      <c r="D466" s="7" t="s">
        <v>84</v>
      </c>
      <c r="E466" s="7" t="s">
        <v>465</v>
      </c>
    </row>
    <row r="467" spans="1:5" x14ac:dyDescent="0.25">
      <c r="A467" s="1">
        <v>45292</v>
      </c>
      <c r="B467" s="2" t="s">
        <v>50</v>
      </c>
      <c r="C467" s="2" t="s">
        <v>162</v>
      </c>
      <c r="D467" s="7" t="s">
        <v>85</v>
      </c>
      <c r="E467" s="7" t="s">
        <v>466</v>
      </c>
    </row>
    <row r="468" spans="1:5" x14ac:dyDescent="0.25">
      <c r="A468" s="1">
        <v>45292</v>
      </c>
      <c r="B468" s="2" t="s">
        <v>50</v>
      </c>
      <c r="C468" s="2" t="s">
        <v>164</v>
      </c>
      <c r="D468" s="7" t="s">
        <v>49</v>
      </c>
      <c r="E468" s="7" t="s">
        <v>467</v>
      </c>
    </row>
    <row r="469" spans="1:5" x14ac:dyDescent="0.25">
      <c r="A469" s="1">
        <v>45292</v>
      </c>
      <c r="B469" s="2" t="s">
        <v>50</v>
      </c>
      <c r="C469" s="2" t="s">
        <v>218</v>
      </c>
      <c r="D469" s="7" t="s">
        <v>86</v>
      </c>
      <c r="E469" s="7" t="s">
        <v>468</v>
      </c>
    </row>
    <row r="470" spans="1:5" x14ac:dyDescent="0.25">
      <c r="A470" s="1">
        <v>45292</v>
      </c>
      <c r="B470" s="2" t="s">
        <v>50</v>
      </c>
      <c r="C470" s="2" t="s">
        <v>154</v>
      </c>
      <c r="D470" s="7" t="s">
        <v>44</v>
      </c>
      <c r="E470" s="7" t="s">
        <v>469</v>
      </c>
    </row>
    <row r="471" spans="1:5" x14ac:dyDescent="0.25">
      <c r="A471" s="1">
        <v>45292</v>
      </c>
      <c r="B471" s="2" t="s">
        <v>50</v>
      </c>
      <c r="C471" s="2" t="s">
        <v>156</v>
      </c>
      <c r="D471" s="7" t="s">
        <v>45</v>
      </c>
      <c r="E471" s="7" t="s">
        <v>470</v>
      </c>
    </row>
    <row r="472" spans="1:5" x14ac:dyDescent="0.25">
      <c r="A472" s="1">
        <v>45292</v>
      </c>
      <c r="B472" s="2" t="s">
        <v>50</v>
      </c>
      <c r="C472" s="2" t="s">
        <v>158</v>
      </c>
      <c r="D472" s="7" t="s">
        <v>46</v>
      </c>
      <c r="E472" s="7" t="s">
        <v>369</v>
      </c>
    </row>
    <row r="473" spans="1:5" x14ac:dyDescent="0.25">
      <c r="A473" s="1">
        <v>45292</v>
      </c>
      <c r="B473" s="2" t="s">
        <v>50</v>
      </c>
      <c r="C473" s="2" t="s">
        <v>160</v>
      </c>
      <c r="D473" s="7" t="s">
        <v>47</v>
      </c>
      <c r="E473" s="7" t="s">
        <v>161</v>
      </c>
    </row>
    <row r="474" spans="1:5" x14ac:dyDescent="0.25">
      <c r="A474" s="1">
        <v>45292</v>
      </c>
      <c r="B474" s="2" t="s">
        <v>5</v>
      </c>
      <c r="C474" s="2" t="s">
        <v>88</v>
      </c>
      <c r="D474" s="7" t="s">
        <v>6</v>
      </c>
      <c r="E474" s="7" t="s">
        <v>471</v>
      </c>
    </row>
    <row r="475" spans="1:5" x14ac:dyDescent="0.25">
      <c r="A475" s="1">
        <v>45292</v>
      </c>
      <c r="B475" s="2" t="s">
        <v>5</v>
      </c>
      <c r="C475" s="2" t="s">
        <v>90</v>
      </c>
      <c r="D475" s="7" t="s">
        <v>51</v>
      </c>
      <c r="E475" s="7" t="s">
        <v>472</v>
      </c>
    </row>
    <row r="476" spans="1:5" x14ac:dyDescent="0.25">
      <c r="A476" s="1">
        <v>45292</v>
      </c>
      <c r="B476" s="2" t="s">
        <v>5</v>
      </c>
      <c r="C476" s="2" t="s">
        <v>92</v>
      </c>
      <c r="D476" s="7" t="s">
        <v>473</v>
      </c>
      <c r="E476" s="7" t="s">
        <v>474</v>
      </c>
    </row>
    <row r="477" spans="1:5" x14ac:dyDescent="0.25">
      <c r="A477" s="1">
        <v>45292</v>
      </c>
      <c r="B477" s="2" t="s">
        <v>5</v>
      </c>
      <c r="C477" s="2" t="s">
        <v>94</v>
      </c>
      <c r="D477" s="7" t="s">
        <v>9</v>
      </c>
      <c r="E477" s="7" t="s">
        <v>475</v>
      </c>
    </row>
    <row r="478" spans="1:5" x14ac:dyDescent="0.25">
      <c r="A478" s="1">
        <v>45292</v>
      </c>
      <c r="B478" s="2" t="s">
        <v>5</v>
      </c>
      <c r="C478" s="2" t="s">
        <v>96</v>
      </c>
      <c r="D478" s="7" t="s">
        <v>476</v>
      </c>
      <c r="E478" s="7" t="s">
        <v>477</v>
      </c>
    </row>
    <row r="479" spans="1:5" x14ac:dyDescent="0.25">
      <c r="A479" s="1">
        <v>45292</v>
      </c>
      <c r="B479" s="2" t="s">
        <v>5</v>
      </c>
      <c r="C479" s="2" t="s">
        <v>98</v>
      </c>
      <c r="D479" s="7" t="s">
        <v>11</v>
      </c>
      <c r="E479" s="7" t="s">
        <v>478</v>
      </c>
    </row>
    <row r="480" spans="1:5" x14ac:dyDescent="0.25">
      <c r="A480" s="1">
        <v>45292</v>
      </c>
      <c r="B480" s="2" t="s">
        <v>5</v>
      </c>
      <c r="C480" s="2" t="s">
        <v>100</v>
      </c>
      <c r="D480" s="7" t="s">
        <v>479</v>
      </c>
      <c r="E480" s="7" t="s">
        <v>480</v>
      </c>
    </row>
    <row r="481" spans="1:5" x14ac:dyDescent="0.25">
      <c r="A481" s="1">
        <v>45292</v>
      </c>
      <c r="B481" s="2" t="s">
        <v>5</v>
      </c>
      <c r="C481" s="2" t="s">
        <v>102</v>
      </c>
      <c r="D481" s="7" t="s">
        <v>13</v>
      </c>
      <c r="E481" s="7" t="s">
        <v>481</v>
      </c>
    </row>
    <row r="482" spans="1:5" x14ac:dyDescent="0.25">
      <c r="A482" s="1">
        <v>45292</v>
      </c>
      <c r="B482" s="2" t="s">
        <v>5</v>
      </c>
      <c r="C482" s="2" t="s">
        <v>104</v>
      </c>
      <c r="D482" s="7" t="s">
        <v>482</v>
      </c>
      <c r="E482" s="7" t="s">
        <v>483</v>
      </c>
    </row>
    <row r="483" spans="1:5" x14ac:dyDescent="0.25">
      <c r="A483" s="1">
        <v>45292</v>
      </c>
      <c r="B483" s="2" t="s">
        <v>5</v>
      </c>
      <c r="C483" s="2" t="s">
        <v>106</v>
      </c>
      <c r="D483" s="7" t="s">
        <v>484</v>
      </c>
      <c r="E483" s="7" t="s">
        <v>485</v>
      </c>
    </row>
    <row r="484" spans="1:5" x14ac:dyDescent="0.25">
      <c r="A484" s="1">
        <v>45292</v>
      </c>
      <c r="B484" s="2" t="s">
        <v>5</v>
      </c>
      <c r="C484" s="2" t="s">
        <v>108</v>
      </c>
      <c r="D484" s="7" t="s">
        <v>486</v>
      </c>
      <c r="E484" s="7" t="s">
        <v>487</v>
      </c>
    </row>
    <row r="485" spans="1:5" x14ac:dyDescent="0.25">
      <c r="A485" s="1">
        <v>45292</v>
      </c>
      <c r="B485" s="2" t="s">
        <v>5</v>
      </c>
      <c r="C485" s="2" t="s">
        <v>110</v>
      </c>
      <c r="D485" s="7" t="s">
        <v>488</v>
      </c>
      <c r="E485" s="7" t="s">
        <v>489</v>
      </c>
    </row>
    <row r="486" spans="1:5" x14ac:dyDescent="0.25">
      <c r="A486" s="1">
        <v>45292</v>
      </c>
      <c r="B486" s="2" t="s">
        <v>5</v>
      </c>
      <c r="C486" s="2" t="s">
        <v>87</v>
      </c>
      <c r="D486" s="7" t="s">
        <v>490</v>
      </c>
      <c r="E486" s="7" t="s">
        <v>491</v>
      </c>
    </row>
    <row r="487" spans="1:5" x14ac:dyDescent="0.25">
      <c r="A487" s="1">
        <v>45292</v>
      </c>
      <c r="B487" s="2" t="s">
        <v>5</v>
      </c>
      <c r="C487" s="2" t="s">
        <v>113</v>
      </c>
      <c r="D487" s="7" t="s">
        <v>492</v>
      </c>
      <c r="E487" s="7" t="s">
        <v>493</v>
      </c>
    </row>
    <row r="488" spans="1:5" x14ac:dyDescent="0.25">
      <c r="A488" s="1">
        <v>45292</v>
      </c>
      <c r="B488" s="2" t="s">
        <v>5</v>
      </c>
      <c r="C488" s="2" t="s">
        <v>115</v>
      </c>
      <c r="D488" s="7" t="s">
        <v>494</v>
      </c>
      <c r="E488" s="7" t="s">
        <v>495</v>
      </c>
    </row>
    <row r="489" spans="1:5" x14ac:dyDescent="0.25">
      <c r="A489" s="1">
        <v>45292</v>
      </c>
      <c r="B489" s="2" t="s">
        <v>5</v>
      </c>
      <c r="C489" s="2" t="s">
        <v>117</v>
      </c>
      <c r="D489" s="7" t="s">
        <v>496</v>
      </c>
      <c r="E489" s="7" t="s">
        <v>497</v>
      </c>
    </row>
    <row r="490" spans="1:5" x14ac:dyDescent="0.25">
      <c r="A490" s="1">
        <v>45292</v>
      </c>
      <c r="B490" s="2" t="s">
        <v>5</v>
      </c>
      <c r="C490" s="2" t="s">
        <v>119</v>
      </c>
      <c r="D490" s="7" t="s">
        <v>498</v>
      </c>
      <c r="E490" s="7" t="s">
        <v>483</v>
      </c>
    </row>
    <row r="491" spans="1:5" x14ac:dyDescent="0.25">
      <c r="A491" s="1">
        <v>45292</v>
      </c>
      <c r="B491" s="2" t="s">
        <v>5</v>
      </c>
      <c r="C491" s="2" t="s">
        <v>121</v>
      </c>
      <c r="D491" s="7" t="s">
        <v>499</v>
      </c>
      <c r="E491" s="7" t="s">
        <v>500</v>
      </c>
    </row>
    <row r="492" spans="1:5" x14ac:dyDescent="0.25">
      <c r="A492" s="1">
        <v>45292</v>
      </c>
      <c r="B492" s="2" t="s">
        <v>5</v>
      </c>
      <c r="C492" s="2" t="s">
        <v>123</v>
      </c>
      <c r="D492" s="7" t="s">
        <v>501</v>
      </c>
      <c r="E492" s="7" t="s">
        <v>502</v>
      </c>
    </row>
    <row r="493" spans="1:5" x14ac:dyDescent="0.25">
      <c r="A493" s="1">
        <v>45292</v>
      </c>
      <c r="B493" s="2" t="s">
        <v>5</v>
      </c>
      <c r="C493" s="2" t="s">
        <v>125</v>
      </c>
      <c r="D493" s="7" t="s">
        <v>503</v>
      </c>
      <c r="E493" s="7" t="s">
        <v>504</v>
      </c>
    </row>
    <row r="494" spans="1:5" x14ac:dyDescent="0.25">
      <c r="A494" s="1">
        <v>45292</v>
      </c>
      <c r="B494" s="2" t="s">
        <v>5</v>
      </c>
      <c r="C494" s="2" t="s">
        <v>127</v>
      </c>
      <c r="D494" s="7" t="s">
        <v>505</v>
      </c>
      <c r="E494" s="7" t="s">
        <v>506</v>
      </c>
    </row>
    <row r="495" spans="1:5" x14ac:dyDescent="0.25">
      <c r="A495" s="1">
        <v>45292</v>
      </c>
      <c r="B495" s="2" t="s">
        <v>5</v>
      </c>
      <c r="C495" s="2" t="s">
        <v>129</v>
      </c>
      <c r="D495" s="7" t="s">
        <v>507</v>
      </c>
      <c r="E495" s="7" t="s">
        <v>508</v>
      </c>
    </row>
    <row r="496" spans="1:5" x14ac:dyDescent="0.25">
      <c r="A496" s="1">
        <v>45292</v>
      </c>
      <c r="B496" s="2" t="s">
        <v>5</v>
      </c>
      <c r="C496" s="2" t="s">
        <v>131</v>
      </c>
      <c r="D496" s="7" t="s">
        <v>509</v>
      </c>
      <c r="E496" s="7" t="s">
        <v>510</v>
      </c>
    </row>
    <row r="497" spans="1:5" x14ac:dyDescent="0.25">
      <c r="A497" s="1">
        <v>45292</v>
      </c>
      <c r="B497" s="2" t="s">
        <v>5</v>
      </c>
      <c r="C497" s="2" t="s">
        <v>133</v>
      </c>
      <c r="D497" s="7" t="s">
        <v>511</v>
      </c>
      <c r="E497" s="7" t="s">
        <v>502</v>
      </c>
    </row>
    <row r="498" spans="1:5" x14ac:dyDescent="0.25">
      <c r="A498" s="1">
        <v>45292</v>
      </c>
      <c r="B498" s="2" t="s">
        <v>5</v>
      </c>
      <c r="C498" s="2" t="s">
        <v>134</v>
      </c>
      <c r="D498" s="7" t="s">
        <v>512</v>
      </c>
      <c r="E498" s="7" t="s">
        <v>504</v>
      </c>
    </row>
    <row r="499" spans="1:5" x14ac:dyDescent="0.25">
      <c r="A499" s="1">
        <v>45292</v>
      </c>
      <c r="B499" s="2" t="s">
        <v>5</v>
      </c>
      <c r="C499" s="2" t="s">
        <v>135</v>
      </c>
      <c r="D499" s="7" t="s">
        <v>513</v>
      </c>
      <c r="E499" s="7" t="s">
        <v>506</v>
      </c>
    </row>
    <row r="500" spans="1:5" x14ac:dyDescent="0.25">
      <c r="A500" s="1">
        <v>45292</v>
      </c>
      <c r="B500" s="2" t="s">
        <v>5</v>
      </c>
      <c r="C500" s="2" t="s">
        <v>136</v>
      </c>
      <c r="D500" s="7" t="s">
        <v>514</v>
      </c>
      <c r="E500" s="7" t="s">
        <v>508</v>
      </c>
    </row>
    <row r="501" spans="1:5" x14ac:dyDescent="0.25">
      <c r="A501" s="1">
        <v>45292</v>
      </c>
      <c r="B501" s="2" t="s">
        <v>5</v>
      </c>
      <c r="C501" s="2" t="s">
        <v>137</v>
      </c>
      <c r="D501" s="7" t="s">
        <v>515</v>
      </c>
      <c r="E501" s="7" t="s">
        <v>510</v>
      </c>
    </row>
    <row r="502" spans="1:5" x14ac:dyDescent="0.25">
      <c r="A502" s="1">
        <v>45292</v>
      </c>
      <c r="B502" s="2" t="s">
        <v>5</v>
      </c>
      <c r="C502" s="2" t="s">
        <v>138</v>
      </c>
      <c r="D502" s="7" t="s">
        <v>34</v>
      </c>
      <c r="E502" s="7" t="s">
        <v>475</v>
      </c>
    </row>
    <row r="503" spans="1:5" x14ac:dyDescent="0.25">
      <c r="A503" s="1">
        <v>45292</v>
      </c>
      <c r="B503" s="2" t="s">
        <v>5</v>
      </c>
      <c r="C503" s="2" t="s">
        <v>140</v>
      </c>
      <c r="D503" s="7" t="s">
        <v>516</v>
      </c>
      <c r="E503" s="7" t="s">
        <v>487</v>
      </c>
    </row>
    <row r="504" spans="1:5" x14ac:dyDescent="0.25">
      <c r="A504" s="1">
        <v>45292</v>
      </c>
      <c r="B504" s="2" t="s">
        <v>5</v>
      </c>
      <c r="C504" s="2" t="s">
        <v>142</v>
      </c>
      <c r="D504" s="7" t="s">
        <v>517</v>
      </c>
      <c r="E504" s="7" t="s">
        <v>480</v>
      </c>
    </row>
    <row r="505" spans="1:5" x14ac:dyDescent="0.25">
      <c r="A505" s="1">
        <v>45292</v>
      </c>
      <c r="B505" s="2" t="s">
        <v>5</v>
      </c>
      <c r="C505" s="2" t="s">
        <v>143</v>
      </c>
      <c r="D505" s="7" t="s">
        <v>37</v>
      </c>
      <c r="E505" s="7" t="s">
        <v>481</v>
      </c>
    </row>
    <row r="506" spans="1:5" x14ac:dyDescent="0.25">
      <c r="A506" s="1">
        <v>45292</v>
      </c>
      <c r="B506" s="2" t="s">
        <v>5</v>
      </c>
      <c r="C506" s="2" t="s">
        <v>144</v>
      </c>
      <c r="D506" s="7" t="s">
        <v>38</v>
      </c>
      <c r="E506" s="7" t="s">
        <v>518</v>
      </c>
    </row>
    <row r="507" spans="1:5" x14ac:dyDescent="0.25">
      <c r="A507" s="1">
        <v>45292</v>
      </c>
      <c r="B507" s="2" t="s">
        <v>5</v>
      </c>
      <c r="C507" s="2" t="s">
        <v>146</v>
      </c>
      <c r="D507" s="7" t="s">
        <v>39</v>
      </c>
      <c r="E507" s="7" t="s">
        <v>475</v>
      </c>
    </row>
    <row r="508" spans="1:5" x14ac:dyDescent="0.25">
      <c r="A508" s="1">
        <v>45292</v>
      </c>
      <c r="B508" s="2" t="s">
        <v>5</v>
      </c>
      <c r="C508" s="2" t="s">
        <v>147</v>
      </c>
      <c r="D508" s="7" t="s">
        <v>519</v>
      </c>
      <c r="E508" s="7" t="s">
        <v>487</v>
      </c>
    </row>
    <row r="509" spans="1:5" x14ac:dyDescent="0.25">
      <c r="A509" s="1">
        <v>45292</v>
      </c>
      <c r="B509" s="2" t="s">
        <v>5</v>
      </c>
      <c r="C509" s="2" t="s">
        <v>520</v>
      </c>
      <c r="D509" s="7" t="s">
        <v>521</v>
      </c>
      <c r="E509" s="7" t="s">
        <v>483</v>
      </c>
    </row>
    <row r="510" spans="1:5" x14ac:dyDescent="0.25">
      <c r="A510" s="1">
        <v>45292</v>
      </c>
      <c r="B510" s="2" t="s">
        <v>5</v>
      </c>
      <c r="C510" s="2" t="s">
        <v>148</v>
      </c>
      <c r="D510" s="7" t="s">
        <v>41</v>
      </c>
      <c r="E510" s="7" t="s">
        <v>522</v>
      </c>
    </row>
    <row r="511" spans="1:5" x14ac:dyDescent="0.25">
      <c r="A511" s="1">
        <v>45292</v>
      </c>
      <c r="B511" s="2" t="s">
        <v>5</v>
      </c>
      <c r="C511" s="2" t="s">
        <v>523</v>
      </c>
      <c r="D511" s="7" t="s">
        <v>524</v>
      </c>
      <c r="E511" s="7" t="s">
        <v>522</v>
      </c>
    </row>
    <row r="512" spans="1:5" x14ac:dyDescent="0.25">
      <c r="A512" s="1">
        <v>45292</v>
      </c>
      <c r="B512" s="2" t="s">
        <v>5</v>
      </c>
      <c r="C512" s="2" t="s">
        <v>150</v>
      </c>
      <c r="D512" s="7" t="s">
        <v>525</v>
      </c>
      <c r="E512" s="7" t="s">
        <v>526</v>
      </c>
    </row>
    <row r="513" spans="1:5" x14ac:dyDescent="0.25">
      <c r="A513" s="1">
        <v>45292</v>
      </c>
      <c r="B513" s="2" t="s">
        <v>5</v>
      </c>
      <c r="C513" s="2" t="s">
        <v>152</v>
      </c>
      <c r="D513" s="7" t="s">
        <v>527</v>
      </c>
      <c r="E513" s="7" t="s">
        <v>528</v>
      </c>
    </row>
    <row r="514" spans="1:5" x14ac:dyDescent="0.25">
      <c r="A514" s="1">
        <v>45292</v>
      </c>
      <c r="B514" s="2" t="s">
        <v>5</v>
      </c>
      <c r="C514" s="2" t="s">
        <v>154</v>
      </c>
      <c r="D514" s="7" t="s">
        <v>44</v>
      </c>
      <c r="E514" s="7" t="s">
        <v>469</v>
      </c>
    </row>
    <row r="515" spans="1:5" x14ac:dyDescent="0.25">
      <c r="A515" s="1">
        <v>45292</v>
      </c>
      <c r="B515" s="2" t="s">
        <v>5</v>
      </c>
      <c r="C515" s="2" t="s">
        <v>156</v>
      </c>
      <c r="D515" s="7" t="s">
        <v>45</v>
      </c>
      <c r="E515" s="7" t="s">
        <v>470</v>
      </c>
    </row>
    <row r="516" spans="1:5" x14ac:dyDescent="0.25">
      <c r="A516" s="1">
        <v>45292</v>
      </c>
      <c r="B516" s="2" t="s">
        <v>5</v>
      </c>
      <c r="C516" s="2" t="s">
        <v>158</v>
      </c>
      <c r="D516" s="7" t="s">
        <v>46</v>
      </c>
      <c r="E516" s="7" t="s">
        <v>369</v>
      </c>
    </row>
    <row r="517" spans="1:5" x14ac:dyDescent="0.25">
      <c r="A517" s="1">
        <v>45292</v>
      </c>
      <c r="B517" s="2" t="s">
        <v>5</v>
      </c>
      <c r="C517" s="2" t="s">
        <v>160</v>
      </c>
      <c r="D517" s="7" t="s">
        <v>47</v>
      </c>
      <c r="E517" s="7" t="s">
        <v>161</v>
      </c>
    </row>
    <row r="518" spans="1:5" x14ac:dyDescent="0.25">
      <c r="A518" s="1">
        <v>45292</v>
      </c>
      <c r="B518" s="2" t="s">
        <v>5</v>
      </c>
      <c r="C518" s="2" t="s">
        <v>162</v>
      </c>
      <c r="D518" s="7" t="s">
        <v>85</v>
      </c>
      <c r="E518" s="7" t="s">
        <v>466</v>
      </c>
    </row>
    <row r="519" spans="1:5" x14ac:dyDescent="0.25">
      <c r="A519" s="1">
        <v>45292</v>
      </c>
      <c r="B519" s="2" t="s">
        <v>5</v>
      </c>
      <c r="C519" s="2" t="s">
        <v>164</v>
      </c>
      <c r="D519" s="7" t="s">
        <v>49</v>
      </c>
      <c r="E519" s="7" t="s">
        <v>529</v>
      </c>
    </row>
    <row r="520" spans="1:5" x14ac:dyDescent="0.25">
      <c r="A520" s="1">
        <v>45292</v>
      </c>
      <c r="B520" s="2" t="s">
        <v>5</v>
      </c>
      <c r="C520" s="2" t="s">
        <v>218</v>
      </c>
      <c r="D520" s="7" t="s">
        <v>86</v>
      </c>
      <c r="E520" s="7" t="s">
        <v>468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60626-540B-42BF-9182-6038F9F106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Tabel 1</vt:lpstr>
      <vt:lpstr>Gruppe2_Takstmapper</vt:lpstr>
    </vt:vector>
  </TitlesOfParts>
  <Company>Aarhus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Barner Hanquist Gammelgaard</dc:creator>
  <cp:lastModifiedBy>Mathias Barner Hanquist Gammelgaard</cp:lastModifiedBy>
  <dcterms:created xsi:type="dcterms:W3CDTF">2025-12-15T07:20:45Z</dcterms:created>
  <dcterms:modified xsi:type="dcterms:W3CDTF">2025-12-18T09:45:28Z</dcterms:modified>
</cp:coreProperties>
</file>